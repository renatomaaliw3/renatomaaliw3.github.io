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<sst xmlns="http://schemas.openxmlformats.org/spreadsheetml/2006/main" count="238" uniqueCount="86">
  <si>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</si>
  <si>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</si>
  <si>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</si>
  <si>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Empowering Students: Classroom Intervention With an Instructional Textbook in Pathfit 1 Movement Competency Training – Phase 1</t>
  </si>
  <si>
    <t>Comments &amp; Suggestion:</t>
  </si>
  <si>
    <t>Author (s):</t>
  </si>
  <si>
    <t>Jackliyn Kate Mayorca</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</si>
  <si>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</si>
  <si>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Criteria</t>
  </si>
  <si>
    <r>
      <rPr>
        <rFont val="Times New Roman"/>
        <b/>
        <color theme="1"/>
        <sz val="12.0"/>
      </rPr>
      <t xml:space="preserve">Raw Score </t>
    </r>
    <r>
      <rPr>
        <rFont val="Times New Roman"/>
        <color theme="1"/>
        <sz val="12.0"/>
      </rPr>
      <t xml:space="preserve">                                           1 -100 %</t>
    </r>
  </si>
  <si>
    <t xml:space="preserve">Weighted Score </t>
  </si>
  <si>
    <t>Development and Validation of Website for Lipunan Pangkasaysayan ng Morong (LIKAS Morong), Inc.</t>
  </si>
  <si>
    <t>Development of Internet of Things (IoT)-Assisted Trainer Board on Programmable Logic Controller</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</si>
  <si>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</si>
  <si>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Eden S. Prado</t>
  </si>
  <si>
    <t>Joyce Lyn Mateo Abaoag</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</si>
  <si>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</si>
  <si>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t>Development and Evaluation of Smartcard-Based ID System for Quisao Integrated National High School</t>
  </si>
  <si>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</si>
  <si>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</si>
  <si>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</si>
  <si>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t>Alking P. Sunga</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</si>
  <si>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</si>
  <si>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</si>
  <si>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</si>
  <si>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</si>
  <si>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t>Research Write-up</t>
  </si>
  <si>
    <r>
      <rPr>
        <rFont val="Times New Roman"/>
        <b/>
        <color theme="1"/>
        <sz val="12.0"/>
      </rPr>
      <t xml:space="preserve">Raw Score </t>
    </r>
    <r>
      <rPr>
        <rFont val="Times New Roman"/>
        <color theme="1"/>
        <sz val="12.0"/>
      </rPr>
      <t xml:space="preserve">                                           1 -100 %</t>
    </r>
  </si>
  <si>
    <t>Novelty/Originality</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</si>
  <si>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</si>
  <si>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Oral Presentation</t>
  </si>
  <si>
    <t xml:space="preserve">Total Weighted Score </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</si>
  <si>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</si>
  <si>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</si>
  <si>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FOR POSTER</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</si>
  <si>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</si>
  <si>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</si>
  <si>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</si>
  <si>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</si>
  <si>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</si>
  <si>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</si>
  <si>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t>Renato R. Maaliw III</t>
  </si>
  <si>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</si>
  <si>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Evaluator's Name and Signature</t>
  </si>
  <si>
    <r>
      <rPr>
        <rFont val="Times New Roman"/>
        <b/>
        <color theme="1"/>
        <sz val="12.0"/>
      </rPr>
      <t xml:space="preserve">Raw Score </t>
    </r>
    <r>
      <rPr>
        <rFont val="Times New Roman"/>
        <color theme="1"/>
        <sz val="12.0"/>
      </rPr>
      <t xml:space="preserve">                                           1 -100 %</t>
    </r>
  </si>
  <si>
    <r>
      <rPr>
        <rFont val="Arial"/>
        <b/>
        <color theme="1"/>
        <sz val="12.0"/>
      </rPr>
      <t>Design
·</t>
    </r>
    <r>
      <rPr>
        <rFont val="Arial"/>
        <b val="0"/>
        <i/>
        <color theme="1"/>
        <sz val="11.0"/>
      </rPr>
      <t xml:space="preserve"> Originality and creativity
· Timing, clarity and visuals
· Coherence of the elements presented (harmony and balance)</t>
    </r>
  </si>
  <si>
    <t>Date</t>
  </si>
  <si>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</si>
  <si>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</si>
  <si>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</si>
  <si>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</si>
  <si>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Over-all Impact
</t>
    </r>
    <r>
      <rPr>
        <rFont val="Arial"/>
        <b val="0"/>
        <i/>
        <color theme="1"/>
        <sz val="11.0"/>
      </rPr>
      <t>· Appeal and attractiveness to target clientele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</si>
  <si>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</si>
  <si>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</si>
  <si>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t xml:space="preserve">Renato R. Maaliw III		</t>
  </si>
  <si>
    <r>
      <rPr>
        <rFont val="Arial"/>
        <b/>
        <color theme="1"/>
        <sz val="12.0"/>
      </rPr>
      <t xml:space="preserve">Over-all Impact
</t>
    </r>
    <r>
      <rPr>
        <rFont val="Arial"/>
        <b val="0"/>
        <i/>
        <color theme="1"/>
        <sz val="11.0"/>
      </rPr>
      <t>· Appeal and attractiveness to target clientele</t>
    </r>
  </si>
  <si>
    <t>Design and Development of e-Learning Management System for IPGAI</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</si>
  <si>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</si>
  <si>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</si>
  <si>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</si>
  <si>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</si>
  <si>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</si>
  <si>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Design and Development of Web Portal for Taytay Market</t>
  </si>
  <si>
    <t>Design and Development of Web Portal for the Office of the City Agriculturist Antipolo</t>
  </si>
  <si>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</si>
  <si>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</si>
  <si>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Prof. Jayson A. Daluyon</t>
  </si>
  <si>
    <t>Prof. Neil John P. Albito, Prof. Marthea Andrea O. Daluyon, Prof. Jayson A. Daluyon, Prof. Alking P. Sunga, Prof. Joyce Lyn M. Abaoag, and Dr. Joy SG. Cruz</t>
  </si>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</sst>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1" fillId="0" fontId="6"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4</v>
      </c>
      <c r="K5" s="1"/>
      <c r="L5" s="1"/>
      <c r="M5" s="1"/>
      <c r="N5" s="1"/>
      <c r="O5" s="1"/>
    </row>
    <row r="6">
      <c r="A6" s="3" t="s">
        <v>5</v>
      </c>
      <c r="B6" s="4" t="s">
        <v>6</v>
      </c>
      <c r="C6" s="5"/>
      <c r="D6" s="5"/>
      <c r="E6" s="5"/>
      <c r="F6" s="5"/>
      <c r="G6" s="6"/>
      <c r="I6" s="8" t="s">
        <v>7</v>
      </c>
    </row>
    <row r="8">
      <c r="A8" s="9" t="s">
        <v>8</v>
      </c>
      <c r="B8" s="5"/>
      <c r="C8" s="5"/>
      <c r="D8" s="6"/>
      <c r="E8" s="10" t="s">
        <v>9</v>
      </c>
      <c r="F8" s="6"/>
      <c r="G8" s="11" t="s">
        <v>10</v>
      </c>
    </row>
    <row r="9">
      <c r="A9" s="12" t="s">
        <v>13</v>
      </c>
      <c r="B9" s="5"/>
      <c r="C9" s="5"/>
      <c r="D9" s="6"/>
      <c r="E9" s="13">
        <v>84.0</v>
      </c>
      <c r="F9" s="14">
        <v>0.3</v>
      </c>
      <c r="G9" s="15">
        <f t="shared" ref="G9:G13" si="1">(E9*F9)</f>
        <v>25.2</v>
      </c>
    </row>
    <row r="10">
      <c r="A10" s="12" t="s">
        <v>22</v>
      </c>
      <c r="B10" s="5"/>
      <c r="C10" s="5"/>
      <c r="D10" s="6"/>
      <c r="E10" s="13">
        <v>85.0</v>
      </c>
      <c r="F10" s="14">
        <v>0.3</v>
      </c>
      <c r="G10" s="15">
        <f t="shared" si="1"/>
        <v>25.5</v>
      </c>
    </row>
    <row r="11">
      <c r="A11" s="12" t="s">
        <v>26</v>
      </c>
      <c r="B11" s="5"/>
      <c r="C11" s="5"/>
      <c r="D11" s="6"/>
      <c r="E11" s="13">
        <v>85.0</v>
      </c>
      <c r="F11" s="14">
        <v>0.2</v>
      </c>
      <c r="G11" s="15">
        <f t="shared" si="1"/>
        <v>17</v>
      </c>
    </row>
    <row r="12">
      <c r="A12" s="12" t="s">
        <v>28</v>
      </c>
      <c r="B12" s="5"/>
      <c r="C12" s="5"/>
      <c r="D12" s="6"/>
      <c r="E12" s="13">
        <v>84.0</v>
      </c>
      <c r="F12" s="14">
        <v>0.1</v>
      </c>
      <c r="G12" s="15">
        <f t="shared" si="1"/>
        <v>8.4</v>
      </c>
    </row>
    <row r="13">
      <c r="A13" s="12" t="s">
        <v>30</v>
      </c>
      <c r="B13" s="5"/>
      <c r="C13" s="5"/>
      <c r="D13" s="6"/>
      <c r="E13" s="13">
        <v>89.0</v>
      </c>
      <c r="F13" s="14">
        <v>0.1</v>
      </c>
      <c r="G13" s="15">
        <f t="shared" si="1"/>
        <v>8.9</v>
      </c>
    </row>
    <row r="14">
      <c r="A14" s="16" t="s">
        <v>31</v>
      </c>
      <c r="B14" s="5"/>
      <c r="C14" s="5"/>
      <c r="D14" s="5"/>
      <c r="E14" s="5"/>
      <c r="F14" s="6"/>
      <c r="G14" s="11">
        <f>SUM(G9,G10,G11,G12,G13)</f>
        <v>85</v>
      </c>
    </row>
    <row r="17">
      <c r="A17" s="17" t="s">
        <v>0</v>
      </c>
    </row>
    <row r="18">
      <c r="A18" s="18" t="s">
        <v>34</v>
      </c>
    </row>
    <row r="20">
      <c r="A20" s="3" t="s">
        <v>2</v>
      </c>
      <c r="B20" s="4" t="s">
        <v>3</v>
      </c>
      <c r="C20" s="5"/>
      <c r="D20" s="5"/>
      <c r="E20" s="5"/>
      <c r="F20" s="5"/>
      <c r="G20" s="6"/>
      <c r="I20" s="7" t="s">
        <v>4</v>
      </c>
      <c r="K20" s="1"/>
      <c r="L20" s="1"/>
      <c r="M20" s="1"/>
      <c r="N20" s="1"/>
      <c r="O20" s="1"/>
    </row>
    <row r="21">
      <c r="A21" s="3" t="s">
        <v>5</v>
      </c>
      <c r="B21" s="4" t="s">
        <v>6</v>
      </c>
      <c r="C21" s="5"/>
      <c r="D21" s="5"/>
      <c r="E21" s="5"/>
      <c r="F21" s="5"/>
      <c r="G21" s="6"/>
      <c r="I21" s="19"/>
    </row>
    <row r="23">
      <c r="A23" s="9" t="s">
        <v>8</v>
      </c>
      <c r="B23" s="5"/>
      <c r="C23" s="5"/>
      <c r="D23" s="6"/>
      <c r="E23" s="10" t="s">
        <v>36</v>
      </c>
      <c r="F23" s="6"/>
      <c r="G23" s="11" t="s">
        <v>10</v>
      </c>
    </row>
    <row r="24">
      <c r="A24" s="12" t="s">
        <v>37</v>
      </c>
      <c r="B24" s="5"/>
      <c r="C24" s="5"/>
      <c r="D24" s="6"/>
      <c r="E24" s="13"/>
      <c r="F24" s="14">
        <v>0.4</v>
      </c>
      <c r="G24" s="15">
        <f t="shared" ref="G24:G26" si="2">(E24*F24)</f>
        <v>0</v>
      </c>
    </row>
    <row r="25">
      <c r="A25" s="12" t="s">
        <v>38</v>
      </c>
      <c r="B25" s="5"/>
      <c r="C25" s="5"/>
      <c r="D25" s="6"/>
      <c r="E25" s="13"/>
      <c r="F25" s="14">
        <v>0.3</v>
      </c>
      <c r="G25" s="15">
        <f t="shared" si="2"/>
        <v>0</v>
      </c>
    </row>
    <row r="26">
      <c r="A26" s="12" t="s">
        <v>39</v>
      </c>
      <c r="B26" s="5"/>
      <c r="C26" s="5"/>
      <c r="D26" s="6"/>
      <c r="E26" s="13"/>
      <c r="F26" s="14">
        <v>0.3</v>
      </c>
      <c r="G26" s="15">
        <f t="shared" si="2"/>
        <v>0</v>
      </c>
    </row>
    <row r="27">
      <c r="A27" s="16" t="s">
        <v>31</v>
      </c>
      <c r="B27" s="5"/>
      <c r="C27" s="5"/>
      <c r="D27" s="5"/>
      <c r="E27" s="5"/>
      <c r="F27" s="6"/>
      <c r="G27" s="11">
        <f>SUM(G24,G25,G26)</f>
        <v>0</v>
      </c>
    </row>
    <row r="30">
      <c r="E30" s="20" t="s">
        <v>41</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12</v>
      </c>
      <c r="C5" s="5"/>
      <c r="D5" s="5"/>
      <c r="E5" s="5"/>
      <c r="F5" s="5"/>
      <c r="G5" s="6"/>
      <c r="I5" s="7" t="s">
        <v>4</v>
      </c>
      <c r="K5" s="1"/>
      <c r="L5" s="1"/>
      <c r="M5" s="1"/>
      <c r="N5" s="1"/>
      <c r="O5" s="1"/>
    </row>
    <row r="6">
      <c r="A6" s="3" t="s">
        <v>5</v>
      </c>
      <c r="B6" s="4" t="s">
        <v>14</v>
      </c>
      <c r="C6" s="5"/>
      <c r="D6" s="5"/>
      <c r="E6" s="5"/>
      <c r="F6" s="5"/>
      <c r="G6" s="6"/>
      <c r="I6" s="8" t="s">
        <v>18</v>
      </c>
    </row>
    <row r="8">
      <c r="A8" s="9" t="s">
        <v>8</v>
      </c>
      <c r="B8" s="5"/>
      <c r="C8" s="5"/>
      <c r="D8" s="6"/>
      <c r="E8" s="10" t="s">
        <v>20</v>
      </c>
      <c r="F8" s="6"/>
      <c r="G8" s="11" t="s">
        <v>10</v>
      </c>
    </row>
    <row r="9">
      <c r="A9" s="12" t="s">
        <v>24</v>
      </c>
      <c r="B9" s="5"/>
      <c r="C9" s="5"/>
      <c r="D9" s="6"/>
      <c r="E9" s="13">
        <v>85.0</v>
      </c>
      <c r="F9" s="14">
        <v>0.3</v>
      </c>
      <c r="G9" s="15">
        <f t="shared" ref="G9:G13" si="1">(E9*F9)</f>
        <v>25.5</v>
      </c>
    </row>
    <row r="10">
      <c r="A10" s="12" t="s">
        <v>32</v>
      </c>
      <c r="B10" s="5"/>
      <c r="C10" s="5"/>
      <c r="D10" s="6"/>
      <c r="E10" s="13">
        <v>87.0</v>
      </c>
      <c r="F10" s="14">
        <v>0.3</v>
      </c>
      <c r="G10" s="15">
        <f t="shared" si="1"/>
        <v>26.1</v>
      </c>
    </row>
    <row r="11">
      <c r="A11" s="12" t="s">
        <v>26</v>
      </c>
      <c r="B11" s="5"/>
      <c r="C11" s="5"/>
      <c r="D11" s="6"/>
      <c r="E11" s="13">
        <v>86.0</v>
      </c>
      <c r="F11" s="14">
        <v>0.2</v>
      </c>
      <c r="G11" s="15">
        <f t="shared" si="1"/>
        <v>17.2</v>
      </c>
    </row>
    <row r="12">
      <c r="A12" s="12" t="s">
        <v>28</v>
      </c>
      <c r="B12" s="5"/>
      <c r="C12" s="5"/>
      <c r="D12" s="6"/>
      <c r="E12" s="13">
        <v>87.0</v>
      </c>
      <c r="F12" s="14">
        <v>0.1</v>
      </c>
      <c r="G12" s="15">
        <f t="shared" si="1"/>
        <v>8.7</v>
      </c>
    </row>
    <row r="13">
      <c r="A13" s="12" t="s">
        <v>30</v>
      </c>
      <c r="B13" s="5"/>
      <c r="C13" s="5"/>
      <c r="D13" s="6"/>
      <c r="E13" s="13">
        <v>90.0</v>
      </c>
      <c r="F13" s="14">
        <v>0.1</v>
      </c>
      <c r="G13" s="15">
        <f t="shared" si="1"/>
        <v>9</v>
      </c>
    </row>
    <row r="14">
      <c r="A14" s="16" t="s">
        <v>31</v>
      </c>
      <c r="B14" s="5"/>
      <c r="C14" s="5"/>
      <c r="D14" s="5"/>
      <c r="E14" s="5"/>
      <c r="F14" s="6"/>
      <c r="G14" s="11">
        <f>SUM(G9,G10,G11,G12,G13)</f>
        <v>86.5</v>
      </c>
    </row>
    <row r="17">
      <c r="A17" s="17" t="s">
        <v>0</v>
      </c>
    </row>
    <row r="18">
      <c r="A18" s="18" t="s">
        <v>34</v>
      </c>
    </row>
    <row r="20">
      <c r="A20" s="3" t="s">
        <v>2</v>
      </c>
      <c r="B20" s="4" t="s">
        <v>12</v>
      </c>
      <c r="C20" s="5"/>
      <c r="D20" s="5"/>
      <c r="E20" s="5"/>
      <c r="F20" s="5"/>
      <c r="G20" s="6"/>
      <c r="I20" s="7" t="s">
        <v>4</v>
      </c>
      <c r="K20" s="1"/>
      <c r="L20" s="1"/>
      <c r="M20" s="1"/>
      <c r="N20" s="1"/>
      <c r="O20" s="1"/>
    </row>
    <row r="21">
      <c r="A21" s="3" t="s">
        <v>5</v>
      </c>
      <c r="B21" s="4" t="s">
        <v>14</v>
      </c>
      <c r="C21" s="5"/>
      <c r="D21" s="5"/>
      <c r="E21" s="5"/>
      <c r="F21" s="5"/>
      <c r="G21" s="6"/>
      <c r="I21" s="19"/>
    </row>
    <row r="23">
      <c r="A23" s="9" t="s">
        <v>8</v>
      </c>
      <c r="B23" s="5"/>
      <c r="C23" s="5"/>
      <c r="D23" s="6"/>
      <c r="E23" s="10" t="s">
        <v>44</v>
      </c>
      <c r="F23" s="6"/>
      <c r="G23" s="11" t="s">
        <v>10</v>
      </c>
    </row>
    <row r="24">
      <c r="A24" s="12" t="s">
        <v>47</v>
      </c>
      <c r="B24" s="5"/>
      <c r="C24" s="5"/>
      <c r="D24" s="6"/>
      <c r="E24" s="13"/>
      <c r="F24" s="14">
        <v>0.4</v>
      </c>
      <c r="G24" s="15">
        <f t="shared" ref="G24:G26" si="2">(E24*F24)</f>
        <v>0</v>
      </c>
    </row>
    <row r="25">
      <c r="A25" s="12" t="s">
        <v>48</v>
      </c>
      <c r="B25" s="5"/>
      <c r="C25" s="5"/>
      <c r="D25" s="6"/>
      <c r="E25" s="13"/>
      <c r="F25" s="14">
        <v>0.3</v>
      </c>
      <c r="G25" s="15">
        <f t="shared" si="2"/>
        <v>0</v>
      </c>
    </row>
    <row r="26">
      <c r="A26" s="12" t="s">
        <v>51</v>
      </c>
      <c r="B26" s="5"/>
      <c r="C26" s="5"/>
      <c r="D26" s="6"/>
      <c r="E26" s="1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11</v>
      </c>
      <c r="C5" s="5"/>
      <c r="D5" s="5"/>
      <c r="E5" s="5"/>
      <c r="F5" s="5"/>
      <c r="G5" s="6"/>
      <c r="I5" s="7" t="s">
        <v>4</v>
      </c>
      <c r="K5" s="1"/>
      <c r="L5" s="1"/>
      <c r="M5" s="1"/>
      <c r="N5" s="1"/>
      <c r="O5" s="1"/>
    </row>
    <row r="6">
      <c r="A6" s="3" t="s">
        <v>5</v>
      </c>
      <c r="B6" s="4" t="s">
        <v>15</v>
      </c>
      <c r="C6" s="5"/>
      <c r="D6" s="5"/>
      <c r="E6" s="5"/>
      <c r="F6" s="5"/>
      <c r="G6" s="6"/>
      <c r="I6" s="8" t="s">
        <v>16</v>
      </c>
    </row>
    <row r="8">
      <c r="A8" s="9" t="s">
        <v>8</v>
      </c>
      <c r="B8" s="5"/>
      <c r="C8" s="5"/>
      <c r="D8" s="6"/>
      <c r="E8" s="10" t="s">
        <v>19</v>
      </c>
      <c r="F8" s="6"/>
      <c r="G8" s="11" t="s">
        <v>10</v>
      </c>
    </row>
    <row r="9">
      <c r="A9" s="12" t="s">
        <v>23</v>
      </c>
      <c r="B9" s="5"/>
      <c r="C9" s="5"/>
      <c r="D9" s="6"/>
      <c r="E9" s="13">
        <v>85.0</v>
      </c>
      <c r="F9" s="14">
        <v>0.3</v>
      </c>
      <c r="G9" s="15">
        <f t="shared" ref="G9:G13" si="1">(E9*F9)</f>
        <v>25.5</v>
      </c>
    </row>
    <row r="10">
      <c r="A10" s="12" t="s">
        <v>33</v>
      </c>
      <c r="B10" s="5"/>
      <c r="C10" s="5"/>
      <c r="D10" s="6"/>
      <c r="E10" s="13">
        <v>84.0</v>
      </c>
      <c r="F10" s="14">
        <v>0.3</v>
      </c>
      <c r="G10" s="15">
        <f t="shared" si="1"/>
        <v>25.2</v>
      </c>
    </row>
    <row r="11">
      <c r="A11" s="12" t="s">
        <v>26</v>
      </c>
      <c r="B11" s="5"/>
      <c r="C11" s="5"/>
      <c r="D11" s="6"/>
      <c r="E11" s="13">
        <v>85.0</v>
      </c>
      <c r="F11" s="14">
        <v>0.2</v>
      </c>
      <c r="G11" s="15">
        <f t="shared" si="1"/>
        <v>17</v>
      </c>
    </row>
    <row r="12">
      <c r="A12" s="12" t="s">
        <v>28</v>
      </c>
      <c r="B12" s="5"/>
      <c r="C12" s="5"/>
      <c r="D12" s="6"/>
      <c r="E12" s="13">
        <v>83.0</v>
      </c>
      <c r="F12" s="14">
        <v>0.1</v>
      </c>
      <c r="G12" s="15">
        <f t="shared" si="1"/>
        <v>8.3</v>
      </c>
    </row>
    <row r="13">
      <c r="A13" s="12" t="s">
        <v>30</v>
      </c>
      <c r="B13" s="5"/>
      <c r="C13" s="5"/>
      <c r="D13" s="6"/>
      <c r="E13" s="13">
        <v>89.0</v>
      </c>
      <c r="F13" s="14">
        <v>0.1</v>
      </c>
      <c r="G13" s="15">
        <f t="shared" si="1"/>
        <v>8.9</v>
      </c>
    </row>
    <row r="14">
      <c r="A14" s="16" t="s">
        <v>31</v>
      </c>
      <c r="B14" s="5"/>
      <c r="C14" s="5"/>
      <c r="D14" s="5"/>
      <c r="E14" s="5"/>
      <c r="F14" s="6"/>
      <c r="G14" s="11">
        <f>SUM(G9,G10,G11,G12,G13)</f>
        <v>84.9</v>
      </c>
    </row>
    <row r="17">
      <c r="A17" s="17" t="s">
        <v>0</v>
      </c>
    </row>
    <row r="18">
      <c r="A18" s="18" t="s">
        <v>34</v>
      </c>
    </row>
    <row r="20">
      <c r="A20" s="3" t="s">
        <v>2</v>
      </c>
      <c r="B20" s="4" t="s">
        <v>11</v>
      </c>
      <c r="C20" s="5"/>
      <c r="D20" s="5"/>
      <c r="E20" s="5"/>
      <c r="F20" s="5"/>
      <c r="G20" s="6"/>
      <c r="I20" s="7" t="s">
        <v>4</v>
      </c>
      <c r="K20" s="1"/>
      <c r="L20" s="1"/>
      <c r="M20" s="1"/>
      <c r="N20" s="1"/>
      <c r="O20" s="1"/>
    </row>
    <row r="21">
      <c r="A21" s="3" t="s">
        <v>5</v>
      </c>
      <c r="B21" s="4" t="s">
        <v>15</v>
      </c>
      <c r="C21" s="5"/>
      <c r="D21" s="5"/>
      <c r="E21" s="5"/>
      <c r="F21" s="5"/>
      <c r="G21" s="6"/>
      <c r="I21" s="19"/>
    </row>
    <row r="23">
      <c r="A23" s="9" t="s">
        <v>8</v>
      </c>
      <c r="B23" s="5"/>
      <c r="C23" s="5"/>
      <c r="D23" s="6"/>
      <c r="E23" s="10" t="s">
        <v>40</v>
      </c>
      <c r="F23" s="6"/>
      <c r="G23" s="11" t="s">
        <v>10</v>
      </c>
    </row>
    <row r="24">
      <c r="A24" s="12" t="s">
        <v>42</v>
      </c>
      <c r="B24" s="5"/>
      <c r="C24" s="5"/>
      <c r="D24" s="6"/>
      <c r="E24" s="13"/>
      <c r="F24" s="14">
        <v>0.4</v>
      </c>
      <c r="G24" s="15">
        <f t="shared" ref="G24:G26" si="2">(E24*F24)</f>
        <v>0</v>
      </c>
    </row>
    <row r="25">
      <c r="A25" s="12" t="s">
        <v>45</v>
      </c>
      <c r="B25" s="5"/>
      <c r="C25" s="5"/>
      <c r="D25" s="6"/>
      <c r="E25" s="23"/>
      <c r="F25" s="14">
        <v>0.3</v>
      </c>
      <c r="G25" s="15">
        <f t="shared" si="2"/>
        <v>0</v>
      </c>
    </row>
    <row r="26">
      <c r="A26" s="12" t="s">
        <v>49</v>
      </c>
      <c r="B26" s="5"/>
      <c r="C26" s="5"/>
      <c r="D26" s="6"/>
      <c r="E26" s="2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17</v>
      </c>
      <c r="C5" s="5"/>
      <c r="D5" s="5"/>
      <c r="E5" s="5"/>
      <c r="F5" s="5"/>
      <c r="G5" s="6"/>
      <c r="I5" s="7" t="s">
        <v>4</v>
      </c>
      <c r="K5" s="1"/>
      <c r="L5" s="1"/>
      <c r="M5" s="1"/>
      <c r="N5" s="1"/>
      <c r="O5" s="1"/>
    </row>
    <row r="6">
      <c r="A6" s="3" t="s">
        <v>5</v>
      </c>
      <c r="B6" s="4" t="s">
        <v>21</v>
      </c>
      <c r="C6" s="5"/>
      <c r="D6" s="5"/>
      <c r="E6" s="5"/>
      <c r="F6" s="5"/>
      <c r="G6" s="6"/>
      <c r="I6" s="8" t="s">
        <v>25</v>
      </c>
    </row>
    <row r="8">
      <c r="A8" s="9" t="s">
        <v>8</v>
      </c>
      <c r="B8" s="5"/>
      <c r="C8" s="5"/>
      <c r="D8" s="6"/>
      <c r="E8" s="10" t="s">
        <v>27</v>
      </c>
      <c r="F8" s="6"/>
      <c r="G8" s="11" t="s">
        <v>10</v>
      </c>
    </row>
    <row r="9">
      <c r="A9" s="12" t="s">
        <v>29</v>
      </c>
      <c r="B9" s="5"/>
      <c r="C9" s="5"/>
      <c r="D9" s="6"/>
      <c r="E9" s="13">
        <v>84.0</v>
      </c>
      <c r="F9" s="14">
        <v>0.3</v>
      </c>
      <c r="G9" s="15">
        <f t="shared" ref="G9:G13" si="1">(E9*F9)</f>
        <v>25.2</v>
      </c>
    </row>
    <row r="10">
      <c r="A10" s="12" t="s">
        <v>35</v>
      </c>
      <c r="B10" s="5"/>
      <c r="C10" s="5"/>
      <c r="D10" s="6"/>
      <c r="E10" s="13">
        <v>84.0</v>
      </c>
      <c r="F10" s="14">
        <v>0.3</v>
      </c>
      <c r="G10" s="15">
        <f t="shared" si="1"/>
        <v>25.2</v>
      </c>
    </row>
    <row r="11">
      <c r="A11" s="12" t="s">
        <v>26</v>
      </c>
      <c r="B11" s="5"/>
      <c r="C11" s="5"/>
      <c r="D11" s="6"/>
      <c r="E11" s="13">
        <v>85.0</v>
      </c>
      <c r="F11" s="14">
        <v>0.2</v>
      </c>
      <c r="G11" s="15">
        <f t="shared" si="1"/>
        <v>17</v>
      </c>
    </row>
    <row r="12">
      <c r="A12" s="12" t="s">
        <v>28</v>
      </c>
      <c r="B12" s="5"/>
      <c r="C12" s="5"/>
      <c r="D12" s="6"/>
      <c r="E12" s="13">
        <v>83.0</v>
      </c>
      <c r="F12" s="14">
        <v>0.1</v>
      </c>
      <c r="G12" s="15">
        <f t="shared" si="1"/>
        <v>8.3</v>
      </c>
    </row>
    <row r="13">
      <c r="A13" s="12" t="s">
        <v>30</v>
      </c>
      <c r="B13" s="5"/>
      <c r="C13" s="5"/>
      <c r="D13" s="6"/>
      <c r="E13" s="13">
        <v>89.0</v>
      </c>
      <c r="F13" s="14">
        <v>0.1</v>
      </c>
      <c r="G13" s="15">
        <f t="shared" si="1"/>
        <v>8.9</v>
      </c>
    </row>
    <row r="14">
      <c r="A14" s="16" t="s">
        <v>31</v>
      </c>
      <c r="B14" s="5"/>
      <c r="C14" s="5"/>
      <c r="D14" s="5"/>
      <c r="E14" s="5"/>
      <c r="F14" s="6"/>
      <c r="G14" s="11">
        <f>SUM(G9,G10,G11,G12,G13)</f>
        <v>84.6</v>
      </c>
    </row>
    <row r="17">
      <c r="A17" s="17" t="s">
        <v>0</v>
      </c>
    </row>
    <row r="18">
      <c r="A18" s="18" t="s">
        <v>34</v>
      </c>
    </row>
    <row r="20">
      <c r="A20" s="3" t="s">
        <v>2</v>
      </c>
      <c r="B20" s="4" t="s">
        <v>17</v>
      </c>
      <c r="C20" s="5"/>
      <c r="D20" s="5"/>
      <c r="E20" s="5"/>
      <c r="F20" s="5"/>
      <c r="G20" s="6"/>
      <c r="I20" s="7" t="s">
        <v>4</v>
      </c>
      <c r="K20" s="1"/>
      <c r="L20" s="1"/>
      <c r="M20" s="1"/>
      <c r="N20" s="1"/>
      <c r="O20" s="1"/>
    </row>
    <row r="21">
      <c r="A21" s="3" t="s">
        <v>5</v>
      </c>
      <c r="B21" s="4" t="s">
        <v>21</v>
      </c>
      <c r="C21" s="5"/>
      <c r="D21" s="5"/>
      <c r="E21" s="5"/>
      <c r="F21" s="5"/>
      <c r="G21" s="6"/>
      <c r="I21" s="19"/>
    </row>
    <row r="23">
      <c r="A23" s="9" t="s">
        <v>8</v>
      </c>
      <c r="B23" s="5"/>
      <c r="C23" s="5"/>
      <c r="D23" s="6"/>
      <c r="E23" s="10" t="s">
        <v>50</v>
      </c>
      <c r="F23" s="6"/>
      <c r="G23" s="11" t="s">
        <v>10</v>
      </c>
    </row>
    <row r="24">
      <c r="A24" s="12" t="s">
        <v>52</v>
      </c>
      <c r="B24" s="5"/>
      <c r="C24" s="5"/>
      <c r="D24" s="6"/>
      <c r="E24" s="13"/>
      <c r="F24" s="14">
        <v>0.4</v>
      </c>
      <c r="G24" s="15">
        <f t="shared" ref="G24:G26" si="2">(E24*F24)</f>
        <v>0</v>
      </c>
    </row>
    <row r="25">
      <c r="A25" s="12" t="s">
        <v>53</v>
      </c>
      <c r="B25" s="5"/>
      <c r="C25" s="5"/>
      <c r="D25" s="6"/>
      <c r="E25" s="13"/>
      <c r="F25" s="14">
        <v>0.3</v>
      </c>
      <c r="G25" s="15">
        <f t="shared" si="2"/>
        <v>0</v>
      </c>
    </row>
    <row r="26">
      <c r="A26" s="12" t="s">
        <v>55</v>
      </c>
      <c r="B26" s="5"/>
      <c r="C26" s="5"/>
      <c r="D26" s="6"/>
      <c r="E26" s="1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4</v>
      </c>
      <c r="K5" s="1"/>
      <c r="L5" s="1"/>
      <c r="M5" s="1"/>
      <c r="N5" s="1"/>
      <c r="O5" s="1"/>
    </row>
    <row r="6">
      <c r="A6" s="3" t="s">
        <v>5</v>
      </c>
      <c r="B6" s="4" t="s">
        <v>57</v>
      </c>
      <c r="C6" s="5"/>
      <c r="D6" s="5"/>
      <c r="E6" s="5"/>
      <c r="F6" s="5"/>
      <c r="G6" s="6"/>
      <c r="I6" s="8" t="s">
        <v>58</v>
      </c>
    </row>
    <row r="8">
      <c r="A8" s="9" t="s">
        <v>8</v>
      </c>
      <c r="B8" s="5"/>
      <c r="C8" s="5"/>
      <c r="D8" s="6"/>
      <c r="E8" s="10" t="s">
        <v>59</v>
      </c>
      <c r="F8" s="6"/>
      <c r="G8" s="11" t="s">
        <v>10</v>
      </c>
    </row>
    <row r="9">
      <c r="A9" s="12" t="s">
        <v>60</v>
      </c>
      <c r="B9" s="5"/>
      <c r="C9" s="5"/>
      <c r="D9" s="6"/>
      <c r="E9" s="13">
        <v>84.0</v>
      </c>
      <c r="F9" s="14">
        <v>0.3</v>
      </c>
      <c r="G9" s="15">
        <f t="shared" ref="G9:G13" si="1">(E9*F9)</f>
        <v>25.2</v>
      </c>
    </row>
    <row r="10">
      <c r="A10" s="12" t="s">
        <v>61</v>
      </c>
      <c r="B10" s="5"/>
      <c r="C10" s="5"/>
      <c r="D10" s="6"/>
      <c r="E10" s="13">
        <v>85.0</v>
      </c>
      <c r="F10" s="14">
        <v>0.3</v>
      </c>
      <c r="G10" s="15">
        <f t="shared" si="1"/>
        <v>25.5</v>
      </c>
    </row>
    <row r="11">
      <c r="A11" s="12" t="s">
        <v>26</v>
      </c>
      <c r="B11" s="5"/>
      <c r="C11" s="5"/>
      <c r="D11" s="6"/>
      <c r="E11" s="13">
        <v>84.0</v>
      </c>
      <c r="F11" s="14">
        <v>0.2</v>
      </c>
      <c r="G11" s="15">
        <f t="shared" si="1"/>
        <v>16.8</v>
      </c>
    </row>
    <row r="12">
      <c r="A12" s="12" t="s">
        <v>28</v>
      </c>
      <c r="B12" s="5"/>
      <c r="C12" s="5"/>
      <c r="D12" s="6"/>
      <c r="E12" s="13">
        <v>82.0</v>
      </c>
      <c r="F12" s="14">
        <v>0.1</v>
      </c>
      <c r="G12" s="15">
        <f t="shared" si="1"/>
        <v>8.2</v>
      </c>
    </row>
    <row r="13">
      <c r="A13" s="12" t="s">
        <v>30</v>
      </c>
      <c r="B13" s="5"/>
      <c r="C13" s="5"/>
      <c r="D13" s="6"/>
      <c r="E13" s="13">
        <v>89.0</v>
      </c>
      <c r="F13" s="14">
        <v>0.1</v>
      </c>
      <c r="G13" s="15">
        <f t="shared" si="1"/>
        <v>8.9</v>
      </c>
    </row>
    <row r="14">
      <c r="A14" s="16" t="s">
        <v>31</v>
      </c>
      <c r="B14" s="5"/>
      <c r="C14" s="5"/>
      <c r="D14" s="5"/>
      <c r="E14" s="5"/>
      <c r="F14" s="6"/>
      <c r="G14" s="11">
        <f>SUM(G9,G10,G11,G12,G13)</f>
        <v>84.6</v>
      </c>
    </row>
    <row r="17">
      <c r="A17" s="17" t="s">
        <v>0</v>
      </c>
    </row>
    <row r="18">
      <c r="A18" s="18" t="s">
        <v>34</v>
      </c>
    </row>
    <row r="20">
      <c r="A20" s="3" t="s">
        <v>2</v>
      </c>
      <c r="B20" s="4" t="s">
        <v>56</v>
      </c>
      <c r="C20" s="5"/>
      <c r="D20" s="5"/>
      <c r="E20" s="5"/>
      <c r="F20" s="5"/>
      <c r="G20" s="6"/>
      <c r="I20" s="7" t="s">
        <v>4</v>
      </c>
      <c r="K20" s="1"/>
      <c r="L20" s="1"/>
      <c r="M20" s="1"/>
      <c r="N20" s="1"/>
      <c r="O20" s="1"/>
    </row>
    <row r="21">
      <c r="A21" s="3" t="s">
        <v>5</v>
      </c>
      <c r="B21" s="4" t="s">
        <v>57</v>
      </c>
      <c r="C21" s="5"/>
      <c r="D21" s="5"/>
      <c r="E21" s="5"/>
      <c r="F21" s="5"/>
      <c r="G21" s="6"/>
      <c r="I21" s="19"/>
    </row>
    <row r="23">
      <c r="A23" s="9" t="s">
        <v>8</v>
      </c>
      <c r="B23" s="5"/>
      <c r="C23" s="5"/>
      <c r="D23" s="6"/>
      <c r="E23" s="10" t="s">
        <v>64</v>
      </c>
      <c r="F23" s="6"/>
      <c r="G23" s="11" t="s">
        <v>10</v>
      </c>
    </row>
    <row r="24">
      <c r="A24" s="12" t="s">
        <v>65</v>
      </c>
      <c r="B24" s="5"/>
      <c r="C24" s="5"/>
      <c r="D24" s="6"/>
      <c r="E24" s="13"/>
      <c r="F24" s="14">
        <v>0.4</v>
      </c>
      <c r="G24" s="15">
        <f t="shared" ref="G24:G26" si="2">(E24*F24)</f>
        <v>0</v>
      </c>
    </row>
    <row r="25">
      <c r="A25" s="12" t="s">
        <v>70</v>
      </c>
      <c r="B25" s="5"/>
      <c r="C25" s="5"/>
      <c r="D25" s="6"/>
      <c r="E25" s="13"/>
      <c r="F25" s="14">
        <v>0.3</v>
      </c>
      <c r="G25" s="15">
        <f t="shared" si="2"/>
        <v>0</v>
      </c>
    </row>
    <row r="26">
      <c r="A26" s="12" t="s">
        <v>71</v>
      </c>
      <c r="B26" s="5"/>
      <c r="C26" s="5"/>
      <c r="D26" s="6"/>
      <c r="E26" s="1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63</v>
      </c>
      <c r="C5" s="5"/>
      <c r="D5" s="5"/>
      <c r="E5" s="5"/>
      <c r="F5" s="5"/>
      <c r="G5" s="6"/>
      <c r="I5" s="7" t="s">
        <v>4</v>
      </c>
      <c r="K5" s="1"/>
      <c r="L5" s="1"/>
      <c r="M5" s="1"/>
      <c r="N5" s="1"/>
      <c r="O5" s="1"/>
    </row>
    <row r="6">
      <c r="A6" s="3" t="s">
        <v>5</v>
      </c>
      <c r="B6" s="4" t="s">
        <v>67</v>
      </c>
      <c r="C6" s="5"/>
      <c r="D6" s="5"/>
      <c r="E6" s="5"/>
      <c r="F6" s="5"/>
      <c r="G6" s="6"/>
      <c r="I6" s="8" t="s">
        <v>69</v>
      </c>
    </row>
    <row r="8">
      <c r="A8" s="9" t="s">
        <v>8</v>
      </c>
      <c r="B8" s="5"/>
      <c r="C8" s="5"/>
      <c r="D8" s="6"/>
      <c r="E8" s="10" t="s">
        <v>72</v>
      </c>
      <c r="F8" s="6"/>
      <c r="G8" s="11" t="s">
        <v>10</v>
      </c>
    </row>
    <row r="9">
      <c r="A9" s="12" t="s">
        <v>74</v>
      </c>
      <c r="B9" s="5"/>
      <c r="C9" s="5"/>
      <c r="D9" s="6"/>
      <c r="E9" s="13">
        <v>84.0</v>
      </c>
      <c r="F9" s="14">
        <v>0.3</v>
      </c>
      <c r="G9" s="15">
        <f t="shared" ref="G9:G13" si="1">(E9*F9)</f>
        <v>25.2</v>
      </c>
    </row>
    <row r="10">
      <c r="A10" s="12" t="s">
        <v>77</v>
      </c>
      <c r="B10" s="5"/>
      <c r="C10" s="5"/>
      <c r="D10" s="6"/>
      <c r="E10" s="13">
        <v>84.0</v>
      </c>
      <c r="F10" s="14">
        <v>0.3</v>
      </c>
      <c r="G10" s="15">
        <f t="shared" si="1"/>
        <v>25.2</v>
      </c>
    </row>
    <row r="11">
      <c r="A11" s="12" t="s">
        <v>26</v>
      </c>
      <c r="B11" s="5"/>
      <c r="C11" s="5"/>
      <c r="D11" s="6"/>
      <c r="E11" s="13">
        <v>86.0</v>
      </c>
      <c r="F11" s="14">
        <v>0.2</v>
      </c>
      <c r="G11" s="15">
        <f t="shared" si="1"/>
        <v>17.2</v>
      </c>
    </row>
    <row r="12">
      <c r="A12" s="12" t="s">
        <v>28</v>
      </c>
      <c r="B12" s="5"/>
      <c r="C12" s="5"/>
      <c r="D12" s="6"/>
      <c r="E12" s="13">
        <v>83.0</v>
      </c>
      <c r="F12" s="14">
        <v>0.1</v>
      </c>
      <c r="G12" s="15">
        <f t="shared" si="1"/>
        <v>8.3</v>
      </c>
    </row>
    <row r="13">
      <c r="A13" s="12" t="s">
        <v>30</v>
      </c>
      <c r="B13" s="5"/>
      <c r="C13" s="5"/>
      <c r="D13" s="6"/>
      <c r="E13" s="13">
        <v>88.0</v>
      </c>
      <c r="F13" s="14">
        <v>0.1</v>
      </c>
      <c r="G13" s="15">
        <f t="shared" si="1"/>
        <v>8.8</v>
      </c>
    </row>
    <row r="14">
      <c r="A14" s="16" t="s">
        <v>31</v>
      </c>
      <c r="B14" s="5"/>
      <c r="C14" s="5"/>
      <c r="D14" s="5"/>
      <c r="E14" s="5"/>
      <c r="F14" s="6"/>
      <c r="G14" s="11">
        <f>SUM(G9,G10,G11,G12,G13)</f>
        <v>84.7</v>
      </c>
    </row>
    <row r="17">
      <c r="A17" s="17" t="s">
        <v>0</v>
      </c>
    </row>
    <row r="18">
      <c r="A18" s="18" t="s">
        <v>34</v>
      </c>
    </row>
    <row r="20">
      <c r="A20" s="3" t="s">
        <v>2</v>
      </c>
      <c r="B20" s="4" t="s">
        <v>63</v>
      </c>
      <c r="C20" s="5"/>
      <c r="D20" s="5"/>
      <c r="E20" s="5"/>
      <c r="F20" s="5"/>
      <c r="G20" s="6"/>
      <c r="I20" s="7" t="s">
        <v>4</v>
      </c>
      <c r="K20" s="1"/>
      <c r="L20" s="1"/>
      <c r="M20" s="1"/>
      <c r="N20" s="1"/>
      <c r="O20" s="1"/>
    </row>
    <row r="21">
      <c r="A21" s="3" t="s">
        <v>5</v>
      </c>
      <c r="B21" s="4" t="s">
        <v>67</v>
      </c>
      <c r="C21" s="5"/>
      <c r="D21" s="5"/>
      <c r="E21" s="5"/>
      <c r="F21" s="5"/>
      <c r="G21" s="6"/>
      <c r="I21" s="19"/>
    </row>
    <row r="23">
      <c r="A23" s="9" t="s">
        <v>8</v>
      </c>
      <c r="B23" s="5"/>
      <c r="C23" s="5"/>
      <c r="D23" s="6"/>
      <c r="E23" s="10" t="s">
        <v>78</v>
      </c>
      <c r="F23" s="6"/>
      <c r="G23" s="11" t="s">
        <v>10</v>
      </c>
    </row>
    <row r="24">
      <c r="A24" s="12" t="s">
        <v>79</v>
      </c>
      <c r="B24" s="5"/>
      <c r="C24" s="5"/>
      <c r="D24" s="6"/>
      <c r="E24" s="13"/>
      <c r="F24" s="14">
        <v>0.4</v>
      </c>
      <c r="G24" s="15">
        <f t="shared" ref="G24:G26" si="2">(E24*F24)</f>
        <v>0</v>
      </c>
    </row>
    <row r="25">
      <c r="A25" s="12" t="s">
        <v>82</v>
      </c>
      <c r="B25" s="5"/>
      <c r="C25" s="5"/>
      <c r="D25" s="6"/>
      <c r="E25" s="23"/>
      <c r="F25" s="14">
        <v>0.3</v>
      </c>
      <c r="G25" s="15">
        <f t="shared" si="2"/>
        <v>0</v>
      </c>
    </row>
    <row r="26">
      <c r="A26" s="12" t="s">
        <v>83</v>
      </c>
      <c r="B26" s="5"/>
      <c r="C26" s="5"/>
      <c r="D26" s="6"/>
      <c r="E26" s="2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62</v>
      </c>
      <c r="C5" s="5"/>
      <c r="D5" s="5"/>
      <c r="E5" s="5"/>
      <c r="F5" s="5"/>
      <c r="G5" s="6"/>
      <c r="I5" s="7" t="s">
        <v>4</v>
      </c>
      <c r="K5" s="1"/>
      <c r="L5" s="1"/>
      <c r="M5" s="1"/>
      <c r="N5" s="1"/>
      <c r="O5" s="1"/>
    </row>
    <row r="6">
      <c r="A6" s="3" t="s">
        <v>5</v>
      </c>
      <c r="B6" s="4" t="s">
        <v>66</v>
      </c>
      <c r="C6" s="5"/>
      <c r="D6" s="5"/>
      <c r="E6" s="5"/>
      <c r="F6" s="5"/>
      <c r="G6" s="6"/>
      <c r="I6" s="8" t="s">
        <v>68</v>
      </c>
    </row>
    <row r="8">
      <c r="A8" s="9" t="s">
        <v>8</v>
      </c>
      <c r="B8" s="5"/>
      <c r="C8" s="5"/>
      <c r="D8" s="6"/>
      <c r="E8" s="10" t="s">
        <v>73</v>
      </c>
      <c r="F8" s="6"/>
      <c r="G8" s="11" t="s">
        <v>10</v>
      </c>
    </row>
    <row r="9">
      <c r="A9" s="12" t="s">
        <v>75</v>
      </c>
      <c r="B9" s="5"/>
      <c r="C9" s="5"/>
      <c r="D9" s="6"/>
      <c r="E9" s="13">
        <v>84.0</v>
      </c>
      <c r="F9" s="14">
        <v>0.3</v>
      </c>
      <c r="G9" s="15">
        <f t="shared" ref="G9:G13" si="1">(E9*F9)</f>
        <v>25.2</v>
      </c>
    </row>
    <row r="10">
      <c r="A10" s="12" t="s">
        <v>76</v>
      </c>
      <c r="B10" s="5"/>
      <c r="C10" s="5"/>
      <c r="D10" s="6"/>
      <c r="E10" s="13">
        <v>83.0</v>
      </c>
      <c r="F10" s="14">
        <v>0.3</v>
      </c>
      <c r="G10" s="15">
        <f t="shared" si="1"/>
        <v>24.9</v>
      </c>
    </row>
    <row r="11">
      <c r="A11" s="12" t="s">
        <v>26</v>
      </c>
      <c r="B11" s="5"/>
      <c r="C11" s="5"/>
      <c r="D11" s="6"/>
      <c r="E11" s="13">
        <v>85.0</v>
      </c>
      <c r="F11" s="14">
        <v>0.2</v>
      </c>
      <c r="G11" s="15">
        <f t="shared" si="1"/>
        <v>17</v>
      </c>
    </row>
    <row r="12">
      <c r="A12" s="12" t="s">
        <v>28</v>
      </c>
      <c r="B12" s="5"/>
      <c r="C12" s="5"/>
      <c r="D12" s="6"/>
      <c r="E12" s="13">
        <v>83.0</v>
      </c>
      <c r="F12" s="14">
        <v>0.1</v>
      </c>
      <c r="G12" s="15">
        <f t="shared" si="1"/>
        <v>8.3</v>
      </c>
    </row>
    <row r="13">
      <c r="A13" s="12" t="s">
        <v>30</v>
      </c>
      <c r="B13" s="5"/>
      <c r="C13" s="5"/>
      <c r="D13" s="6"/>
      <c r="E13" s="13">
        <v>86.0</v>
      </c>
      <c r="F13" s="14">
        <v>0.1</v>
      </c>
      <c r="G13" s="15">
        <f t="shared" si="1"/>
        <v>8.6</v>
      </c>
    </row>
    <row r="14">
      <c r="A14" s="16" t="s">
        <v>31</v>
      </c>
      <c r="B14" s="5"/>
      <c r="C14" s="5"/>
      <c r="D14" s="5"/>
      <c r="E14" s="5"/>
      <c r="F14" s="6"/>
      <c r="G14" s="11">
        <f>SUM(G9,G10,G11,G12,G13)</f>
        <v>84</v>
      </c>
    </row>
    <row r="17">
      <c r="A17" s="17" t="s">
        <v>0</v>
      </c>
    </row>
    <row r="18">
      <c r="A18" s="18" t="s">
        <v>34</v>
      </c>
    </row>
    <row r="20">
      <c r="A20" s="3" t="s">
        <v>2</v>
      </c>
      <c r="B20" s="24" t="s">
        <v>62</v>
      </c>
      <c r="C20" s="5"/>
      <c r="D20" s="5"/>
      <c r="E20" s="5"/>
      <c r="F20" s="5"/>
      <c r="G20" s="6"/>
      <c r="I20" s="7" t="s">
        <v>4</v>
      </c>
      <c r="K20" s="1"/>
      <c r="L20" s="1"/>
      <c r="M20" s="1"/>
      <c r="N20" s="1"/>
      <c r="O20" s="1"/>
    </row>
    <row r="21">
      <c r="A21" s="3" t="s">
        <v>5</v>
      </c>
      <c r="B21" s="4" t="s">
        <v>66</v>
      </c>
      <c r="C21" s="5"/>
      <c r="D21" s="5"/>
      <c r="E21" s="5"/>
      <c r="F21" s="5"/>
      <c r="G21" s="6"/>
      <c r="I21" s="19"/>
    </row>
    <row r="23">
      <c r="A23" s="9" t="s">
        <v>8</v>
      </c>
      <c r="B23" s="5"/>
      <c r="C23" s="5"/>
      <c r="D23" s="6"/>
      <c r="E23" s="10" t="s">
        <v>80</v>
      </c>
      <c r="F23" s="6"/>
      <c r="G23" s="11" t="s">
        <v>10</v>
      </c>
    </row>
    <row r="24">
      <c r="A24" s="12" t="s">
        <v>81</v>
      </c>
      <c r="B24" s="5"/>
      <c r="C24" s="5"/>
      <c r="D24" s="6"/>
      <c r="E24" s="13"/>
      <c r="F24" s="14">
        <v>0.4</v>
      </c>
      <c r="G24" s="15">
        <f t="shared" ref="G24:G26" si="2">(E24*F24)</f>
        <v>0</v>
      </c>
    </row>
    <row r="25">
      <c r="A25" s="12" t="s">
        <v>84</v>
      </c>
      <c r="B25" s="5"/>
      <c r="C25" s="5"/>
      <c r="D25" s="6"/>
      <c r="E25" s="23"/>
      <c r="F25" s="14">
        <v>0.3</v>
      </c>
      <c r="G25" s="15">
        <f t="shared" si="2"/>
        <v>0</v>
      </c>
    </row>
    <row r="26">
      <c r="A26" s="12" t="s">
        <v>85</v>
      </c>
      <c r="B26" s="5"/>
      <c r="C26" s="5"/>
      <c r="D26" s="6"/>
      <c r="E26" s="23"/>
      <c r="F26" s="14">
        <v>0.3</v>
      </c>
      <c r="G26" s="15">
        <f t="shared" si="2"/>
        <v>0</v>
      </c>
    </row>
    <row r="27">
      <c r="A27" s="16" t="s">
        <v>31</v>
      </c>
      <c r="B27" s="5"/>
      <c r="C27" s="5"/>
      <c r="D27" s="5"/>
      <c r="E27" s="5"/>
      <c r="F27" s="6"/>
      <c r="G27" s="11">
        <f>SUM(G24,G25,G26)</f>
        <v>0</v>
      </c>
    </row>
    <row r="30">
      <c r="E30" s="20" t="s">
        <v>54</v>
      </c>
      <c r="F30" s="21"/>
      <c r="G30" s="21"/>
    </row>
    <row r="31">
      <c r="E31" s="19" t="s">
        <v>43</v>
      </c>
    </row>
    <row r="32">
      <c r="E32" s="1"/>
      <c r="F32" s="1"/>
      <c r="G32" s="1"/>
    </row>
    <row r="33">
      <c r="E33" s="22">
        <v>46254.0</v>
      </c>
      <c r="F33" s="21"/>
      <c r="G33" s="21"/>
    </row>
    <row r="34">
      <c r="E34" s="1"/>
      <c r="F34" s="19" t="s">
        <v>46</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