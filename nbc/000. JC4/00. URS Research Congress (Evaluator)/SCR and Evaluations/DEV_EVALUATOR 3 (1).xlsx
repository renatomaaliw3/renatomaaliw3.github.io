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DEV" sheetId="1" r:id="rId5"/>
    <sheet state="visible" name="2_DEV" sheetId="2" r:id="rId6"/>
    <sheet state="visible" name="3_DEV" sheetId="3" r:id="rId7"/>
    <sheet state="visible" name="4_DEV" sheetId="4" r:id="rId8"/>
    <sheet state="visible" name="5_DEV" sheetId="5" r:id="rId9"/>
    <sheet state="visible" name="6_DEV" sheetId="6" r:id="rId10"/>
    <sheet state="visible" name="7_DEV" sheetId="7" r:id="rId11"/>
  </sheets>
  <definedNames/>
  <calcPr/>
</workbook>
</file>

<file path=xl/sharedStrings.xml><?xml version="1.0" encoding="utf-8"?>
<sst xmlns="http://schemas.openxmlformats.org/spreadsheetml/2006/main" count="238" uniqueCount="86">
  <si>
    <t xml:space="preserve">EVALUATION FORM </t>
  </si>
  <si>
    <t>FOR ORAL PRESENTATION</t>
  </si>
  <si>
    <t>Research Title:</t>
  </si>
  <si>
    <t>Development of Internet of Things (IoT)-Assisted Trainer Board on Programmable Logic Controller</t>
  </si>
  <si>
    <t>Empowering Students: Classroom Intervention With an Instructional Textbook in Pathfit 1 Movement Competency Training – Phase 1</t>
  </si>
  <si>
    <t>Comments &amp; Suggestion:</t>
  </si>
  <si>
    <t>Author (s):</t>
  </si>
  <si>
    <t>Eden S. Prado</t>
  </si>
  <si>
    <t>Jackliyn Kate Mayorca</t>
  </si>
  <si>
    <t>Development and Validation of Website for Lipunan Pangkasaysayan ng Morong (LIKAS Morong), Inc.</t>
  </si>
  <si>
    <t>1. How exactly were the 26 respondents selected from CIT, COEng, TESDA, and industry pools?
2. Which specific microcontroller or IoT module actually powered the trainer board's wireless communication? (Why the specific hardware is selected)
3. Why rely solely on subjective survey ratings instead of objective bench-test measurements for performance? Response time and accuracy claims should come from timers or sensors, not opinion surveys.
4. Why do Tables 9–17 relabel survey opinions as objective "performance" without instrumentation data?
5. Shouldn't the conclusion explicitly acknowledge the small, unevenly distributed sample of 26 respondents? Generalizability claims need an explicit caveat given only four to seven respondents per subgroup.</t>
  </si>
  <si>
    <t>1. Why does the student sample size shift from 330 in Table 1 to 320 in Table 2 without explanation?
2. Why is there no described sampling technique? Random, stratified, purposive for selecting the 320+ student respondents?
3. Isn't a true "classroom intervention" expected to include a pretest-posttest or control-group comparison rather than only post-hoc perception ratings?
4. Can the authors justify presenting r-values as evidence of "improved fitness outcomes" when no effect-size benchmark (small/medium/large) is applied?
5. How do the authors reconcile students scoring lower than experts on nearly every indicator
with the claim of "robust" textbook validation?</t>
  </si>
  <si>
    <t>Criteria</t>
  </si>
  <si>
    <t>Joyce Lyn Mateo Abaoag</t>
  </si>
  <si>
    <t>1. Does the paper specify which platforms, browsers, devices, or screen sizes
were used during compatibility testing?
2. Shouldn't the security evaluation include actual penetration testing rather than solely relying on expert opinion (Security)?
3. Shouldn't the data collection period of "almost two weeks" be stated as an exact number of days? 
Vague duration phrasing undermines methodological precision expected in a validation study.
4. Could the 360-degree virtual gallery feature mentioned in development be evaluated separately from static content? Interactive media features likely have distinct usability profiles.
5. Could the conclusion address long-term maintenance costs given Firebase's usage-based pricing model?</t>
  </si>
  <si>
    <r>
      <rPr>
        <rFont val="Times New Roman"/>
        <b/>
        <color theme="1"/>
        <sz val="12.0"/>
      </rPr>
      <t xml:space="preserve">Raw Score </t>
    </r>
    <r>
      <rPr>
        <rFont val="Times New Roman"/>
        <color theme="1"/>
        <sz val="12.0"/>
      </rPr>
      <t xml:space="preserve">                                           1 -100 %</t>
    </r>
  </si>
  <si>
    <r>
      <rPr>
        <rFont val="Times New Roman"/>
        <b/>
        <color theme="1"/>
        <sz val="12.0"/>
      </rPr>
      <t xml:space="preserve">Raw Score </t>
    </r>
    <r>
      <rPr>
        <rFont val="Times New Roman"/>
        <color theme="1"/>
        <sz val="12.0"/>
      </rPr>
      <t xml:space="preserve">                                           1 -100 %</t>
    </r>
  </si>
  <si>
    <t xml:space="preserve">Weighted Score </t>
  </si>
  <si>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</si>
  <si>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Times New Roman"/>
        <b/>
        <color theme="1"/>
        <sz val="12.0"/>
      </rPr>
      <t xml:space="preserve">Raw Score </t>
    </r>
    <r>
      <rPr>
        <rFont val="Times New Roman"/>
        <color theme="1"/>
        <sz val="12.0"/>
      </rPr>
      <t xml:space="preserve">                                           1 -100 %</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</si>
  <si>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</si>
  <si>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</si>
  <si>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t>Development and Evaluation of Smartcard-Based ID System for Quisao Integrated National High School</t>
  </si>
  <si>
    <t>Alking P. Sunga</t>
  </si>
  <si>
    <t>1. Could the author clarify why RFID frequency and card standard were never specified upfront?
2. Has the author considered that "identification and monitoring" claims need child-protection literature beyond DepEd Order 40? What is the data privacy safeguards?
3. Was the RFID reader's technical specification, range, and response latency ever benchmarked objectively? (score is subjective and lacks a hardware baseline)
4. Could the authors specify the exact data collection period and duration of system testing?
5. Shouldn't the 0.30-point gap between Interaction Capability and Compatibility be tested for significance?
6. Why does the discussion use "Strongly Agree" when the stated scale only defines "Very High"?
7. Was a mean comparison run between IT professors and software developers rating the same system?
(Two evaluator subgroups may weigh technical criteria differently, yet were pooled uniformly.)
8. Why is Table 6's lowest-scoring item, task coverage completeness, not discussed as a validity concern?
(4.07 mean on core functional suitability deserves more scrutiny than a passing mention.)</t>
  </si>
  <si>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</si>
  <si>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</si>
  <si>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t>Research Write-up</t>
  </si>
  <si>
    <r>
      <rPr>
        <rFont val="Times New Roman"/>
        <b/>
        <color theme="1"/>
        <sz val="12.0"/>
      </rPr>
      <t xml:space="preserve">Raw Score </t>
    </r>
    <r>
      <rPr>
        <rFont val="Times New Roman"/>
        <color theme="1"/>
        <sz val="12.0"/>
      </rPr>
      <t xml:space="preserve">                                           1 -100 %</t>
    </r>
  </si>
  <si>
    <t>Novelty/Originality</t>
  </si>
  <si>
    <t>Oral Presentation</t>
  </si>
  <si>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</si>
  <si>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t xml:space="preserve">Total Weighted Score </t>
  </si>
  <si>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</si>
  <si>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t>FOR POSTER</t>
  </si>
  <si>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</si>
  <si>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r>
      <rPr>
        <rFont val="Times New Roman"/>
        <b/>
        <color theme="1"/>
        <sz val="12.0"/>
      </rPr>
      <t xml:space="preserve">Raw Score </t>
    </r>
    <r>
      <rPr>
        <rFont val="Times New Roman"/>
        <color theme="1"/>
        <sz val="12.0"/>
      </rPr>
      <t xml:space="preserve">                                           1 -100 %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</si>
  <si>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</si>
  <si>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</si>
  <si>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Times New Roman"/>
        <b/>
        <color theme="1"/>
        <sz val="12.0"/>
      </rPr>
      <t xml:space="preserve">Raw Score </t>
    </r>
    <r>
      <rPr>
        <rFont val="Times New Roman"/>
        <color theme="1"/>
        <sz val="12.0"/>
      </rPr>
      <t xml:space="preserve">                                           1 -100 %</t>
    </r>
  </si>
  <si>
    <r>
      <rPr>
        <rFont val="Arial"/>
        <b/>
        <color theme="1"/>
        <sz val="12.0"/>
      </rPr>
      <t xml:space="preserve">Over-all Impact
</t>
    </r>
    <r>
      <rPr>
        <rFont val="Arial"/>
        <b val="0"/>
        <i/>
        <color theme="1"/>
        <sz val="11.0"/>
      </rPr>
      <t>· Appeal and attractiveness to target clientele</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</si>
  <si>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</si>
  <si>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t xml:space="preserve">Renato R. Maaliw III		</t>
  </si>
  <si>
    <r>
      <rPr>
        <rFont val="Arial"/>
        <b/>
        <color theme="1"/>
        <sz val="12.0"/>
      </rPr>
      <t>Design
·</t>
    </r>
    <r>
      <rPr>
        <rFont val="Arial"/>
        <b val="0"/>
        <i/>
        <color theme="1"/>
        <sz val="11.0"/>
      </rPr>
      <t xml:space="preserve"> Originality and creativity
· Timing, clarity and visuals
· Coherence of the elements presented (harmony and balance)</t>
    </r>
  </si>
  <si>
    <t>Evaluator's Name and Signature</t>
  </si>
  <si>
    <r>
      <rPr>
        <rFont val="Times New Roman"/>
        <b/>
        <color theme="1"/>
        <sz val="12.0"/>
      </rPr>
      <t xml:space="preserve">Raw Score </t>
    </r>
    <r>
      <rPr>
        <rFont val="Times New Roman"/>
        <color theme="1"/>
        <sz val="12.0"/>
      </rPr>
      <t xml:space="preserve">                                           1 -100 %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</si>
  <si>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</si>
  <si>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t>Date</t>
  </si>
  <si>
    <r>
      <rPr>
        <rFont val="Arial"/>
        <b/>
        <color theme="1"/>
        <sz val="12.0"/>
      </rPr>
      <t xml:space="preserve">Over-all Impact
</t>
    </r>
    <r>
      <rPr>
        <rFont val="Arial"/>
        <b val="0"/>
        <i/>
        <color theme="1"/>
        <sz val="11.0"/>
      </rPr>
      <t>· Appeal and attractiveness to target clientele</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</si>
  <si>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</si>
  <si>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Over-all Impact
</t>
    </r>
    <r>
      <rPr>
        <rFont val="Arial"/>
        <b val="0"/>
        <i/>
        <color theme="1"/>
        <sz val="11.0"/>
      </rPr>
      <t>· Appeal and attractiveness to target clientele</t>
    </r>
  </si>
  <si>
    <r>
      <rPr>
        <rFont val="Times New Roman"/>
        <b/>
        <color theme="1"/>
        <sz val="12.0"/>
      </rPr>
      <t xml:space="preserve">Raw Score </t>
    </r>
    <r>
      <rPr>
        <rFont val="Times New Roman"/>
        <color theme="1"/>
        <sz val="12.0"/>
      </rPr>
      <t xml:space="preserve">                                           1 -100 %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</si>
  <si>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</si>
  <si>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</si>
  <si>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Over-all Impact
</t>
    </r>
    <r>
      <rPr>
        <rFont val="Arial"/>
        <b val="0"/>
        <i/>
        <color theme="1"/>
        <sz val="11.0"/>
      </rPr>
      <t>· Appeal and attractiveness to target clientele</t>
    </r>
  </si>
  <si>
    <t>Renato R. Maaliw III</t>
  </si>
  <si>
    <t>Design and Development of e-Learning Management System for IPGAI</t>
  </si>
  <si>
    <t>Prof. Marthea Andrea O. Daluyon</t>
  </si>
  <si>
    <t>1. Does the review ever justify choosing PHP and MySQL over other web development stacks?
2. How was content validity established, and by how many subject matter experts?
3. Why does the methodology never specify how long respondents used the system before evaluating it?
4. Isn't the stated duration of "12 months (January 2025 – October 2025)" mathematically ten months, not twelve?
5. Shouldn't the discussion address why 10 IT practitioners might rate security differently than 10 stall owners?
6. Possible improvement, an "adaptive learning management system" powered by AI 
7. Why does the methodology never specify how long respondents used the system before evaluating it?
8. Why does the conclusion never mention certificate authenticity or verification mechanisms for course completion?</t>
  </si>
  <si>
    <r>
      <rPr>
        <rFont val="Times New Roman"/>
        <b/>
        <color theme="1"/>
        <sz val="12.0"/>
      </rPr>
      <t xml:space="preserve">Raw Score </t>
    </r>
    <r>
      <rPr>
        <rFont val="Times New Roman"/>
        <color theme="1"/>
        <sz val="12.0"/>
      </rPr>
      <t xml:space="preserve">                                           1 -100 %</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</si>
  <si>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</si>
  <si>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</si>
  <si>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r>
      <rPr>
        <rFont val="Times New Roman"/>
        <b/>
        <color theme="1"/>
        <sz val="12.0"/>
      </rPr>
      <t xml:space="preserve">Raw Score </t>
    </r>
    <r>
      <rPr>
        <rFont val="Times New Roman"/>
        <color theme="1"/>
        <sz val="12.0"/>
      </rPr>
      <t xml:space="preserve">                                           1 -100 %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</si>
  <si>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</si>
  <si>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</si>
  <si>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Over-all Impact
</t>
    </r>
    <r>
      <rPr>
        <rFont val="Arial"/>
        <b val="0"/>
        <i/>
        <color theme="1"/>
        <sz val="11.0"/>
      </rPr>
      <t>· Appeal and attractiveness to target clientele</t>
    </r>
  </si>
  <si>
    <t>Design and Development of Web Portal for the Office of the City Agriculturist Antipolo</t>
  </si>
  <si>
    <t>Prof. Neil John P. Albito, Prof. Marthea Andrea O. Daluyon, Prof. Jayson A. Daluyon, Prof. Alking P. Sunga, Prof. Joyce Lyn M. Abaoag, and Dr. Joy SG. Cruz</t>
  </si>
  <si>
    <r>
      <rPr>
        <rFont val="Times New Roman"/>
        <color theme="1"/>
        <sz val="12.0"/>
      </rPr>
      <t>1. Shouldn't literature on farmer digital literacy or rural ICT adoption have been prioritized over generic IT literature?
2. Shouldn't farmer-clientele, the portal's stated primary external beneficiaries, have been included as respondents?
Wasn't excluding actual DTI-affiliated farmers or agricultural stakeholders a missed opportunity for external validity?
(Introduction explicitly cites farmers as intended users, yet none appear in the actual evaluation sample)
3. Shouldn't respondent exposure duration to the prototype have been specified before evaluation occurred? (Reliability and usability perceptions vary significantly depending on how long users interacted with the system.)
4. Shouldn't the discussion explain why Item scored only 3.00+, the survey's single lowest item?
5. Why does the conclusion omit any discussion of scaling this portal model to other City Agriculturist offices regionally?
6. Shouldn't the discussion acknowledge that self-evaluating staff rating their own office portal introduces potential bias? 
There is a need for external validators</t>
    </r>
    <r>
      <rPr>
        <rFont val="Times New Roman"/>
        <color rgb="FFFF0000"/>
        <sz val="12.0"/>
      </rPr>
      <t xml:space="preserve">
</t>
    </r>
    <r>
      <rPr>
        <rFont val="Times New Roman"/>
        <color theme="1"/>
        <sz val="12.0"/>
      </rPr>
      <t>7. Built-In data analytics features, probably GIS features, geo-tagging?</t>
    </r>
  </si>
  <si>
    <r>
      <rPr>
        <rFont val="Times New Roman"/>
        <b/>
        <color theme="1"/>
        <sz val="12.0"/>
      </rPr>
      <t xml:space="preserve">Raw Score </t>
    </r>
    <r>
      <rPr>
        <rFont val="Times New Roman"/>
        <color theme="1"/>
        <sz val="12.0"/>
      </rPr>
      <t xml:space="preserve">                                           1 -100 %</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</si>
  <si>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</si>
  <si>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t>Design and Development of Web Portal for Taytay Market</t>
  </si>
  <si>
    <t>Prof. Jayson A. Daluyon</t>
  </si>
  <si>
    <t>1, Where exactly is the research gap that distinguishes this portal from Shopee or Lazada?
2. Shouldn't twenty-seven respondents be justified statistically rather than assumed sufficient by default?
3. Why does the methodology omit response rate and the survey's delivery mode entirely?
4. Have the authors clarified whether they used the 2011 or the 2023 ISO 25010 revision?
5. Why does statistical treatment rely solely on weighted mean, ignoring variance or significance testing?
6. Why does the paper use "Flexibility" instead of ISO 25010's original "Portability" label?
7. Shouldn't the qualitative feedback comments be thematically coded rather than loosely paraphrased?
8. Isn't scalability across Taytay's twenty-two shopping centers left completely unaddressed?</t>
  </si>
  <si>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</si>
  <si>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r>
      <rPr>
        <rFont val="Times New Roman"/>
        <b/>
        <color theme="1"/>
        <sz val="12.0"/>
      </rPr>
      <t xml:space="preserve">Raw Score </t>
    </r>
    <r>
      <rPr>
        <rFont val="Times New Roman"/>
        <color theme="1"/>
        <sz val="12.0"/>
      </rPr>
      <t xml:space="preserve">                                           1 -100 %</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</si>
  <si>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</si>
  <si>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Times New Roman"/>
        <b/>
        <color theme="1"/>
        <sz val="12.0"/>
      </rPr>
      <t xml:space="preserve">Raw Score </t>
    </r>
    <r>
      <rPr>
        <rFont val="Times New Roman"/>
        <color theme="1"/>
        <sz val="12.0"/>
      </rPr>
      <t xml:space="preserve">                                           1 -100 %</t>
    </r>
  </si>
  <si>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</si>
  <si>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</si>
  <si>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</si>
  <si>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Over-all Impact
</t>
    </r>
    <r>
      <rPr>
        <rFont val="Arial"/>
        <b val="0"/>
        <i/>
        <color theme="1"/>
        <sz val="11.0"/>
      </rPr>
      <t>· Appeal and attractiveness to target clientele</t>
    </r>
  </si>
  <si>
    <r>
      <rPr>
        <rFont val="Times New Roman"/>
        <b/>
        <color theme="1"/>
        <sz val="12.0"/>
      </rPr>
      <t xml:space="preserve">Raw Score </t>
    </r>
    <r>
      <rPr>
        <rFont val="Times New Roman"/>
        <color theme="1"/>
        <sz val="12.0"/>
      </rPr>
      <t xml:space="preserve">                                           1 -100 %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</si>
  <si>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</si>
  <si>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</si>
  <si>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Over-all Impact
</t>
    </r>
    <r>
      <rPr>
        <rFont val="Arial"/>
        <b val="0"/>
        <i/>
        <color theme="1"/>
        <sz val="11.0"/>
      </rPr>
      <t>· Appeal and attractiveness to target clientele</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</si>
</sst>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7">
    <font>
      <sz val="10.0"/>
      <color rgb="FF000000"/>
      <name val="Arial"/>
      <scheme val="minor"/>
    </font>
    <font>
      <color theme="1"/>
      <name val="Arial"/>
    </font>
    <font>
      <b/>
      <sz val="12.0"/>
      <color rgb="FFFFFFFF"/>
      <name val="Times New Roman"/>
    </font>
    <font>
      <b/>
      <sz val="12.0"/>
      <color theme="1"/>
      <name val="Times New Roman"/>
    </font>
    <font>
      <sz val="12.0"/>
      <color theme="1"/>
      <name val="Times New Roman"/>
    </font>
    <font/>
    <font>
      <b/>
      <sz val="12.0"/>
      <color theme="1"/>
      <name val="Arial"/>
    </font>
  </fonts>
  <fills count="4">
    <fill>
      <patternFill patternType="none"/>
    </fill>
    <fill>
      <patternFill patternType="lightGray"/>
    </fill>
    <fill>
      <patternFill patternType="solid">
        <fgColor rgb="FF1C4587"/>
        <bgColor rgb="FF1C4587"/>
      </patternFill>
    </fill>
    <fill>
      <patternFill patternType="solid">
        <fgColor rgb="FFCC0000"/>
        <bgColor rgb="FFCC0000"/>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shrinkToFit="0" vertical="bottom" wrapText="1"/>
    </xf>
    <xf borderId="1" fillId="0" fontId="3" numFmtId="0" xfId="0" applyAlignment="1" applyBorder="1" applyFont="1">
      <alignment shrinkToFit="0" vertical="bottom" wrapText="1"/>
    </xf>
    <xf borderId="2" fillId="0" fontId="4" numFmtId="0" xfId="0" applyAlignment="1" applyBorder="1" applyFont="1">
      <alignment horizontal="center" readingOrder="0" shrinkToFit="0" vertical="bottom" wrapText="1"/>
    </xf>
    <xf borderId="3" fillId="0" fontId="5" numFmtId="0" xfId="0" applyBorder="1" applyFont="1"/>
    <xf borderId="4" fillId="0" fontId="5" numFmtId="0" xfId="0" applyBorder="1" applyFont="1"/>
    <xf borderId="0" fillId="0" fontId="3" numFmtId="0" xfId="0" applyAlignment="1" applyFont="1">
      <alignment horizontal="center" readingOrder="0" shrinkToFit="0" vertical="bottom" wrapText="1"/>
    </xf>
    <xf borderId="0" fillId="0" fontId="4" numFmtId="0" xfId="0" applyAlignment="1" applyFont="1">
      <alignment horizontal="left" readingOrder="0" shrinkToFit="0" vertical="top" wrapText="1"/>
    </xf>
    <xf borderId="2" fillId="0" fontId="3" numFmtId="0" xfId="0" applyAlignment="1" applyBorder="1" applyFont="1">
      <alignment horizontal="center" shrinkToFit="0" vertical="bottom" wrapText="1"/>
    </xf>
    <xf borderId="2" fillId="0" fontId="4" numFmtId="0" xfId="0" applyAlignment="1" applyBorder="1" applyFont="1">
      <alignment horizontal="center" shrinkToFit="0" vertical="bottom" wrapText="1"/>
    </xf>
    <xf borderId="1" fillId="0" fontId="3" numFmtId="0" xfId="0" applyAlignment="1" applyBorder="1" applyFont="1">
      <alignment horizontal="center" shrinkToFit="0" vertical="bottom" wrapText="1"/>
    </xf>
    <xf borderId="2" fillId="0" fontId="6" numFmtId="0" xfId="0" applyAlignment="1" applyBorder="1" applyFont="1">
      <alignment readingOrder="0" shrinkToFit="0" vertical="top" wrapText="1"/>
    </xf>
    <xf borderId="1" fillId="0" fontId="6" numFmtId="0" xfId="0" applyAlignment="1" applyBorder="1" applyFont="1">
      <alignment horizontal="center" readingOrder="0" shrinkToFit="0" vertical="center" wrapText="1"/>
    </xf>
    <xf borderId="1" fillId="0" fontId="3" numFmtId="2" xfId="0" applyAlignment="1" applyBorder="1" applyFont="1" applyNumberFormat="1">
      <alignment horizontal="center" readingOrder="0" shrinkToFit="0" vertical="center" wrapText="1"/>
    </xf>
    <xf borderId="1" fillId="0" fontId="3" numFmtId="0" xfId="0" applyAlignment="1" applyBorder="1" applyFont="1">
      <alignment horizontal="center" shrinkToFit="0" vertical="center" wrapText="1"/>
    </xf>
    <xf borderId="2" fillId="0" fontId="3" numFmtId="0" xfId="0" applyAlignment="1" applyBorder="1" applyFont="1">
      <alignment horizontal="right" shrinkToFit="0" vertical="bottom" wrapText="1"/>
    </xf>
    <xf borderId="0" fillId="3" fontId="2" numFmtId="0" xfId="0" applyAlignment="1" applyFill="1" applyFont="1">
      <alignment horizontal="center" shrinkToFit="0" vertical="bottom" wrapText="1"/>
    </xf>
    <xf borderId="0" fillId="3" fontId="2" numFmtId="0" xfId="0" applyAlignment="1" applyFont="1">
      <alignment horizontal="center" readingOrder="0" shrinkToFit="0" vertical="bottom" wrapText="1"/>
    </xf>
    <xf borderId="0" fillId="0" fontId="4" numFmtId="0" xfId="0" applyAlignment="1" applyFont="1">
      <alignment horizontal="center" shrinkToFit="0" vertical="bottom" wrapText="1"/>
    </xf>
    <xf borderId="5" fillId="0" fontId="3" numFmtId="0" xfId="0" applyAlignment="1" applyBorder="1" applyFont="1">
      <alignment horizontal="center" readingOrder="0" shrinkToFit="0" vertical="bottom" wrapText="1"/>
    </xf>
    <xf borderId="5" fillId="0" fontId="5" numFmtId="0" xfId="0" applyBorder="1" applyFont="1"/>
    <xf borderId="1" fillId="0" fontId="6" numFmtId="0" xfId="0" applyAlignment="1" applyBorder="1" applyFont="1">
      <alignment horizontal="center" shrinkToFit="0" vertical="center" wrapText="1"/>
    </xf>
    <xf borderId="5" fillId="0" fontId="4" numFmtId="164" xfId="0" applyAlignment="1" applyBorder="1" applyFont="1" applyNumberFormat="1">
      <alignment horizontal="center" readingOrder="0" shrinkToFit="0" vertical="bottom" wrapText="1"/>
    </xf>
    <xf borderId="2" fillId="0" fontId="4"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866775</xdr:colOff>
      <xdr:row>26</xdr:row>
      <xdr:rowOff>219075</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914400</xdr:colOff>
      <xdr:row>27</xdr:row>
      <xdr:rowOff>19050</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838200</xdr:colOff>
      <xdr:row>26</xdr:row>
      <xdr:rowOff>238125</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904875</xdr:colOff>
      <xdr:row>27</xdr:row>
      <xdr:rowOff>57150</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790575</xdr:colOff>
      <xdr:row>27</xdr:row>
      <xdr:rowOff>47625</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790575</xdr:colOff>
      <xdr:row>27</xdr:row>
      <xdr:rowOff>38100</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809625</xdr:colOff>
      <xdr:row>27</xdr:row>
      <xdr:rowOff>47625</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3.63"/>
  </cols>
  <sheetData>
    <row r="1">
      <c r="I1" s="1"/>
      <c r="J1" s="1"/>
      <c r="K1" s="1"/>
      <c r="L1" s="1"/>
      <c r="M1" s="1"/>
      <c r="N1" s="1"/>
      <c r="O1" s="1"/>
    </row>
    <row r="2">
      <c r="A2" s="2" t="s">
        <v>0</v>
      </c>
    </row>
    <row r="3">
      <c r="A3" s="2" t="s">
        <v>1</v>
      </c>
    </row>
    <row r="4">
      <c r="A4" s="1"/>
      <c r="B4" s="1"/>
      <c r="C4" s="1"/>
      <c r="D4" s="1"/>
      <c r="E4" s="1"/>
      <c r="F4" s="1"/>
      <c r="G4" s="1"/>
    </row>
    <row r="5">
      <c r="A5" s="3" t="s">
        <v>2</v>
      </c>
      <c r="B5" s="4" t="s">
        <v>4</v>
      </c>
      <c r="C5" s="5"/>
      <c r="D5" s="5"/>
      <c r="E5" s="5"/>
      <c r="F5" s="5"/>
      <c r="G5" s="6"/>
      <c r="I5" s="7" t="s">
        <v>5</v>
      </c>
      <c r="K5" s="1"/>
      <c r="L5" s="1"/>
      <c r="M5" s="1"/>
      <c r="N5" s="1"/>
      <c r="O5" s="1"/>
    </row>
    <row r="6">
      <c r="A6" s="3" t="s">
        <v>6</v>
      </c>
      <c r="B6" s="4" t="s">
        <v>8</v>
      </c>
      <c r="C6" s="5"/>
      <c r="D6" s="5"/>
      <c r="E6" s="5"/>
      <c r="F6" s="5"/>
      <c r="G6" s="6"/>
      <c r="I6" s="8" t="s">
        <v>11</v>
      </c>
    </row>
    <row r="8">
      <c r="A8" s="9" t="s">
        <v>12</v>
      </c>
      <c r="B8" s="5"/>
      <c r="C8" s="5"/>
      <c r="D8" s="6"/>
      <c r="E8" s="10" t="s">
        <v>16</v>
      </c>
      <c r="F8" s="6"/>
      <c r="G8" s="11" t="s">
        <v>17</v>
      </c>
    </row>
    <row r="9">
      <c r="A9" s="12" t="s">
        <v>20</v>
      </c>
      <c r="B9" s="5"/>
      <c r="C9" s="5"/>
      <c r="D9" s="6"/>
      <c r="E9" s="13">
        <v>84.0</v>
      </c>
      <c r="F9" s="14">
        <v>0.3</v>
      </c>
      <c r="G9" s="15">
        <f t="shared" ref="G9:G13" si="1">(E9*F9)</f>
        <v>25.2</v>
      </c>
    </row>
    <row r="10">
      <c r="A10" s="12" t="s">
        <v>33</v>
      </c>
      <c r="B10" s="5"/>
      <c r="C10" s="5"/>
      <c r="D10" s="6"/>
      <c r="E10" s="13">
        <v>85.0</v>
      </c>
      <c r="F10" s="14">
        <v>0.3</v>
      </c>
      <c r="G10" s="15">
        <f t="shared" si="1"/>
        <v>25.5</v>
      </c>
    </row>
    <row r="11">
      <c r="A11" s="12" t="s">
        <v>27</v>
      </c>
      <c r="B11" s="5"/>
      <c r="C11" s="5"/>
      <c r="D11" s="6"/>
      <c r="E11" s="13">
        <v>85.0</v>
      </c>
      <c r="F11" s="14">
        <v>0.2</v>
      </c>
      <c r="G11" s="15">
        <f t="shared" si="1"/>
        <v>17</v>
      </c>
    </row>
    <row r="12">
      <c r="A12" s="12" t="s">
        <v>29</v>
      </c>
      <c r="B12" s="5"/>
      <c r="C12" s="5"/>
      <c r="D12" s="6"/>
      <c r="E12" s="13">
        <v>84.0</v>
      </c>
      <c r="F12" s="14">
        <v>0.1</v>
      </c>
      <c r="G12" s="15">
        <f t="shared" si="1"/>
        <v>8.4</v>
      </c>
    </row>
    <row r="13">
      <c r="A13" s="12" t="s">
        <v>30</v>
      </c>
      <c r="B13" s="5"/>
      <c r="C13" s="5"/>
      <c r="D13" s="6"/>
      <c r="E13" s="13">
        <v>89.0</v>
      </c>
      <c r="F13" s="14">
        <v>0.1</v>
      </c>
      <c r="G13" s="15">
        <f t="shared" si="1"/>
        <v>8.9</v>
      </c>
    </row>
    <row r="14">
      <c r="A14" s="16" t="s">
        <v>32</v>
      </c>
      <c r="B14" s="5"/>
      <c r="C14" s="5"/>
      <c r="D14" s="5"/>
      <c r="E14" s="5"/>
      <c r="F14" s="6"/>
      <c r="G14" s="11">
        <f>SUM(G9,G10,G11,G12,G13)</f>
        <v>85</v>
      </c>
    </row>
    <row r="17">
      <c r="A17" s="17" t="s">
        <v>0</v>
      </c>
    </row>
    <row r="18">
      <c r="A18" s="18" t="s">
        <v>34</v>
      </c>
    </row>
    <row r="20">
      <c r="A20" s="3" t="s">
        <v>2</v>
      </c>
      <c r="B20" s="4" t="s">
        <v>4</v>
      </c>
      <c r="C20" s="5"/>
      <c r="D20" s="5"/>
      <c r="E20" s="5"/>
      <c r="F20" s="5"/>
      <c r="G20" s="6"/>
      <c r="I20" s="7" t="s">
        <v>5</v>
      </c>
      <c r="K20" s="1"/>
      <c r="L20" s="1"/>
      <c r="M20" s="1"/>
      <c r="N20" s="1"/>
      <c r="O20" s="1"/>
    </row>
    <row r="21">
      <c r="A21" s="3" t="s">
        <v>6</v>
      </c>
      <c r="B21" s="4" t="s">
        <v>8</v>
      </c>
      <c r="C21" s="5"/>
      <c r="D21" s="5"/>
      <c r="E21" s="5"/>
      <c r="F21" s="5"/>
      <c r="G21" s="6"/>
      <c r="I21" s="19"/>
    </row>
    <row r="23">
      <c r="A23" s="9" t="s">
        <v>12</v>
      </c>
      <c r="B23" s="5"/>
      <c r="C23" s="5"/>
      <c r="D23" s="6"/>
      <c r="E23" s="10" t="s">
        <v>51</v>
      </c>
      <c r="F23" s="6"/>
      <c r="G23" s="11" t="s">
        <v>17</v>
      </c>
    </row>
    <row r="24">
      <c r="A24" s="12" t="s">
        <v>52</v>
      </c>
      <c r="B24" s="5"/>
      <c r="C24" s="5"/>
      <c r="D24" s="6"/>
      <c r="E24" s="13"/>
      <c r="F24" s="14">
        <v>0.4</v>
      </c>
      <c r="G24" s="15">
        <f t="shared" ref="G24:G26" si="2">(E24*F24)</f>
        <v>0</v>
      </c>
    </row>
    <row r="25">
      <c r="A25" s="12" t="s">
        <v>53</v>
      </c>
      <c r="B25" s="5"/>
      <c r="C25" s="5"/>
      <c r="D25" s="6"/>
      <c r="E25" s="13"/>
      <c r="F25" s="14">
        <v>0.3</v>
      </c>
      <c r="G25" s="15">
        <f t="shared" si="2"/>
        <v>0</v>
      </c>
    </row>
    <row r="26">
      <c r="A26" s="12" t="s">
        <v>54</v>
      </c>
      <c r="B26" s="5"/>
      <c r="C26" s="5"/>
      <c r="D26" s="6"/>
      <c r="E26" s="13"/>
      <c r="F26" s="14">
        <v>0.3</v>
      </c>
      <c r="G26" s="15">
        <f t="shared" si="2"/>
        <v>0</v>
      </c>
    </row>
    <row r="27">
      <c r="A27" s="16" t="s">
        <v>32</v>
      </c>
      <c r="B27" s="5"/>
      <c r="C27" s="5"/>
      <c r="D27" s="5"/>
      <c r="E27" s="5"/>
      <c r="F27" s="6"/>
      <c r="G27" s="11">
        <f>SUM(G24,G25,G26)</f>
        <v>0</v>
      </c>
    </row>
    <row r="30">
      <c r="E30" s="20" t="s">
        <v>55</v>
      </c>
      <c r="F30" s="21"/>
      <c r="G30" s="21"/>
    </row>
    <row r="31">
      <c r="E31" s="19" t="s">
        <v>44</v>
      </c>
    </row>
    <row r="32">
      <c r="E32" s="1"/>
      <c r="F32" s="1"/>
      <c r="G32" s="1"/>
    </row>
    <row r="33">
      <c r="E33" s="23">
        <v>46254.0</v>
      </c>
      <c r="F33" s="21"/>
      <c r="G33" s="21"/>
    </row>
    <row r="34">
      <c r="E34" s="1"/>
      <c r="F34" s="19" t="s">
        <v>47</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63"/>
  </cols>
  <sheetData>
    <row r="1">
      <c r="I1" s="1"/>
      <c r="J1" s="1"/>
      <c r="K1" s="1"/>
      <c r="L1" s="1"/>
      <c r="M1" s="1"/>
      <c r="N1" s="1"/>
      <c r="O1" s="1"/>
    </row>
    <row r="2">
      <c r="A2" s="2" t="s">
        <v>0</v>
      </c>
    </row>
    <row r="3">
      <c r="A3" s="2" t="s">
        <v>1</v>
      </c>
    </row>
    <row r="4">
      <c r="A4" s="1"/>
      <c r="B4" s="1"/>
      <c r="C4" s="1"/>
      <c r="D4" s="1"/>
      <c r="E4" s="1"/>
      <c r="F4" s="1"/>
      <c r="G4" s="1"/>
    </row>
    <row r="5">
      <c r="A5" s="3" t="s">
        <v>2</v>
      </c>
      <c r="B5" s="4" t="s">
        <v>3</v>
      </c>
      <c r="C5" s="5"/>
      <c r="D5" s="5"/>
      <c r="E5" s="5"/>
      <c r="F5" s="5"/>
      <c r="G5" s="6"/>
      <c r="I5" s="7" t="s">
        <v>5</v>
      </c>
      <c r="K5" s="1"/>
      <c r="L5" s="1"/>
      <c r="M5" s="1"/>
      <c r="N5" s="1"/>
      <c r="O5" s="1"/>
    </row>
    <row r="6">
      <c r="A6" s="3" t="s">
        <v>6</v>
      </c>
      <c r="B6" s="4" t="s">
        <v>7</v>
      </c>
      <c r="C6" s="5"/>
      <c r="D6" s="5"/>
      <c r="E6" s="5"/>
      <c r="F6" s="5"/>
      <c r="G6" s="6"/>
      <c r="I6" s="8" t="s">
        <v>10</v>
      </c>
    </row>
    <row r="8">
      <c r="A8" s="9" t="s">
        <v>12</v>
      </c>
      <c r="B8" s="5"/>
      <c r="C8" s="5"/>
      <c r="D8" s="6"/>
      <c r="E8" s="10" t="s">
        <v>15</v>
      </c>
      <c r="F8" s="6"/>
      <c r="G8" s="11" t="s">
        <v>17</v>
      </c>
    </row>
    <row r="9">
      <c r="A9" s="12" t="s">
        <v>18</v>
      </c>
      <c r="B9" s="5"/>
      <c r="C9" s="5"/>
      <c r="D9" s="6"/>
      <c r="E9" s="13">
        <v>85.0</v>
      </c>
      <c r="F9" s="14">
        <v>0.3</v>
      </c>
      <c r="G9" s="15">
        <f t="shared" ref="G9:G13" si="1">(E9*F9)</f>
        <v>25.5</v>
      </c>
    </row>
    <row r="10">
      <c r="A10" s="12" t="s">
        <v>25</v>
      </c>
      <c r="B10" s="5"/>
      <c r="C10" s="5"/>
      <c r="D10" s="6"/>
      <c r="E10" s="13">
        <v>87.0</v>
      </c>
      <c r="F10" s="14">
        <v>0.3</v>
      </c>
      <c r="G10" s="15">
        <f t="shared" si="1"/>
        <v>26.1</v>
      </c>
    </row>
    <row r="11">
      <c r="A11" s="12" t="s">
        <v>27</v>
      </c>
      <c r="B11" s="5"/>
      <c r="C11" s="5"/>
      <c r="D11" s="6"/>
      <c r="E11" s="13">
        <v>86.0</v>
      </c>
      <c r="F11" s="14">
        <v>0.2</v>
      </c>
      <c r="G11" s="15">
        <f t="shared" si="1"/>
        <v>17.2</v>
      </c>
    </row>
    <row r="12">
      <c r="A12" s="12" t="s">
        <v>29</v>
      </c>
      <c r="B12" s="5"/>
      <c r="C12" s="5"/>
      <c r="D12" s="6"/>
      <c r="E12" s="13">
        <v>87.0</v>
      </c>
      <c r="F12" s="14">
        <v>0.1</v>
      </c>
      <c r="G12" s="15">
        <f t="shared" si="1"/>
        <v>8.7</v>
      </c>
    </row>
    <row r="13">
      <c r="A13" s="12" t="s">
        <v>30</v>
      </c>
      <c r="B13" s="5"/>
      <c r="C13" s="5"/>
      <c r="D13" s="6"/>
      <c r="E13" s="13">
        <v>90.0</v>
      </c>
      <c r="F13" s="14">
        <v>0.1</v>
      </c>
      <c r="G13" s="15">
        <f t="shared" si="1"/>
        <v>9</v>
      </c>
    </row>
    <row r="14">
      <c r="A14" s="16" t="s">
        <v>32</v>
      </c>
      <c r="B14" s="5"/>
      <c r="C14" s="5"/>
      <c r="D14" s="5"/>
      <c r="E14" s="5"/>
      <c r="F14" s="6"/>
      <c r="G14" s="11">
        <f>SUM(G9,G10,G11,G12,G13)</f>
        <v>86.5</v>
      </c>
    </row>
    <row r="17">
      <c r="A17" s="17" t="s">
        <v>0</v>
      </c>
    </row>
    <row r="18">
      <c r="A18" s="18" t="s">
        <v>34</v>
      </c>
    </row>
    <row r="20">
      <c r="A20" s="3" t="s">
        <v>2</v>
      </c>
      <c r="B20" s="4" t="s">
        <v>3</v>
      </c>
      <c r="C20" s="5"/>
      <c r="D20" s="5"/>
      <c r="E20" s="5"/>
      <c r="F20" s="5"/>
      <c r="G20" s="6"/>
      <c r="I20" s="7" t="s">
        <v>5</v>
      </c>
      <c r="K20" s="1"/>
      <c r="L20" s="1"/>
      <c r="M20" s="1"/>
      <c r="N20" s="1"/>
      <c r="O20" s="1"/>
    </row>
    <row r="21">
      <c r="A21" s="3" t="s">
        <v>6</v>
      </c>
      <c r="B21" s="4" t="s">
        <v>7</v>
      </c>
      <c r="C21" s="5"/>
      <c r="D21" s="5"/>
      <c r="E21" s="5"/>
      <c r="F21" s="5"/>
      <c r="G21" s="6"/>
      <c r="I21" s="19"/>
    </row>
    <row r="23">
      <c r="A23" s="9" t="s">
        <v>12</v>
      </c>
      <c r="B23" s="5"/>
      <c r="C23" s="5"/>
      <c r="D23" s="6"/>
      <c r="E23" s="10" t="s">
        <v>36</v>
      </c>
      <c r="F23" s="6"/>
      <c r="G23" s="11" t="s">
        <v>17</v>
      </c>
    </row>
    <row r="24">
      <c r="A24" s="12" t="s">
        <v>37</v>
      </c>
      <c r="B24" s="5"/>
      <c r="C24" s="5"/>
      <c r="D24" s="6"/>
      <c r="E24" s="13"/>
      <c r="F24" s="14">
        <v>0.4</v>
      </c>
      <c r="G24" s="15">
        <f t="shared" ref="G24:G26" si="2">(E24*F24)</f>
        <v>0</v>
      </c>
    </row>
    <row r="25">
      <c r="A25" s="12" t="s">
        <v>38</v>
      </c>
      <c r="B25" s="5"/>
      <c r="C25" s="5"/>
      <c r="D25" s="6"/>
      <c r="E25" s="13"/>
      <c r="F25" s="14">
        <v>0.3</v>
      </c>
      <c r="G25" s="15">
        <f t="shared" si="2"/>
        <v>0</v>
      </c>
    </row>
    <row r="26">
      <c r="A26" s="12" t="s">
        <v>40</v>
      </c>
      <c r="B26" s="5"/>
      <c r="C26" s="5"/>
      <c r="D26" s="6"/>
      <c r="E26" s="13"/>
      <c r="F26" s="14">
        <v>0.3</v>
      </c>
      <c r="G26" s="15">
        <f t="shared" si="2"/>
        <v>0</v>
      </c>
    </row>
    <row r="27">
      <c r="A27" s="16" t="s">
        <v>32</v>
      </c>
      <c r="B27" s="5"/>
      <c r="C27" s="5"/>
      <c r="D27" s="5"/>
      <c r="E27" s="5"/>
      <c r="F27" s="6"/>
      <c r="G27" s="11">
        <f>SUM(G24,G25,G26)</f>
        <v>0</v>
      </c>
    </row>
    <row r="30">
      <c r="E30" s="20" t="s">
        <v>42</v>
      </c>
      <c r="F30" s="21"/>
      <c r="G30" s="21"/>
    </row>
    <row r="31">
      <c r="E31" s="19" t="s">
        <v>44</v>
      </c>
    </row>
    <row r="32">
      <c r="E32" s="1"/>
      <c r="F32" s="1"/>
      <c r="G32" s="1"/>
    </row>
    <row r="33">
      <c r="E33" s="23">
        <v>46254.0</v>
      </c>
      <c r="F33" s="21"/>
      <c r="G33" s="21"/>
    </row>
    <row r="34">
      <c r="E34" s="1"/>
      <c r="F34" s="19" t="s">
        <v>47</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88"/>
  </cols>
  <sheetData>
    <row r="1">
      <c r="I1" s="1"/>
      <c r="J1" s="1"/>
      <c r="K1" s="1"/>
      <c r="L1" s="1"/>
      <c r="M1" s="1"/>
      <c r="N1" s="1"/>
      <c r="O1" s="1"/>
    </row>
    <row r="2">
      <c r="A2" s="2" t="s">
        <v>0</v>
      </c>
    </row>
    <row r="3">
      <c r="A3" s="2" t="s">
        <v>1</v>
      </c>
    </row>
    <row r="4">
      <c r="A4" s="1"/>
      <c r="B4" s="1"/>
      <c r="C4" s="1"/>
      <c r="D4" s="1"/>
      <c r="E4" s="1"/>
      <c r="F4" s="1"/>
      <c r="G4" s="1"/>
    </row>
    <row r="5">
      <c r="A5" s="3" t="s">
        <v>2</v>
      </c>
      <c r="B5" s="4" t="s">
        <v>9</v>
      </c>
      <c r="C5" s="5"/>
      <c r="D5" s="5"/>
      <c r="E5" s="5"/>
      <c r="F5" s="5"/>
      <c r="G5" s="6"/>
      <c r="I5" s="7" t="s">
        <v>5</v>
      </c>
      <c r="K5" s="1"/>
      <c r="L5" s="1"/>
      <c r="M5" s="1"/>
      <c r="N5" s="1"/>
      <c r="O5" s="1"/>
    </row>
    <row r="6">
      <c r="A6" s="3" t="s">
        <v>6</v>
      </c>
      <c r="B6" s="4" t="s">
        <v>13</v>
      </c>
      <c r="C6" s="5"/>
      <c r="D6" s="5"/>
      <c r="E6" s="5"/>
      <c r="F6" s="5"/>
      <c r="G6" s="6"/>
      <c r="I6" s="8" t="s">
        <v>14</v>
      </c>
    </row>
    <row r="8">
      <c r="A8" s="9" t="s">
        <v>12</v>
      </c>
      <c r="B8" s="5"/>
      <c r="C8" s="5"/>
      <c r="D8" s="6"/>
      <c r="E8" s="10" t="s">
        <v>19</v>
      </c>
      <c r="F8" s="6"/>
      <c r="G8" s="11" t="s">
        <v>17</v>
      </c>
    </row>
    <row r="9">
      <c r="A9" s="12" t="s">
        <v>21</v>
      </c>
      <c r="B9" s="5"/>
      <c r="C9" s="5"/>
      <c r="D9" s="6"/>
      <c r="E9" s="13">
        <v>85.0</v>
      </c>
      <c r="F9" s="14">
        <v>0.3</v>
      </c>
      <c r="G9" s="15">
        <f t="shared" ref="G9:G13" si="1">(E9*F9)</f>
        <v>25.5</v>
      </c>
    </row>
    <row r="10">
      <c r="A10" s="12" t="s">
        <v>26</v>
      </c>
      <c r="B10" s="5"/>
      <c r="C10" s="5"/>
      <c r="D10" s="6"/>
      <c r="E10" s="13">
        <v>84.0</v>
      </c>
      <c r="F10" s="14">
        <v>0.3</v>
      </c>
      <c r="G10" s="15">
        <f t="shared" si="1"/>
        <v>25.2</v>
      </c>
    </row>
    <row r="11">
      <c r="A11" s="12" t="s">
        <v>27</v>
      </c>
      <c r="B11" s="5"/>
      <c r="C11" s="5"/>
      <c r="D11" s="6"/>
      <c r="E11" s="13">
        <v>85.0</v>
      </c>
      <c r="F11" s="14">
        <v>0.2</v>
      </c>
      <c r="G11" s="15">
        <f t="shared" si="1"/>
        <v>17</v>
      </c>
    </row>
    <row r="12">
      <c r="A12" s="12" t="s">
        <v>29</v>
      </c>
      <c r="B12" s="5"/>
      <c r="C12" s="5"/>
      <c r="D12" s="6"/>
      <c r="E12" s="13">
        <v>83.0</v>
      </c>
      <c r="F12" s="14">
        <v>0.1</v>
      </c>
      <c r="G12" s="15">
        <f t="shared" si="1"/>
        <v>8.3</v>
      </c>
    </row>
    <row r="13">
      <c r="A13" s="12" t="s">
        <v>30</v>
      </c>
      <c r="B13" s="5"/>
      <c r="C13" s="5"/>
      <c r="D13" s="6"/>
      <c r="E13" s="13">
        <v>89.0</v>
      </c>
      <c r="F13" s="14">
        <v>0.1</v>
      </c>
      <c r="G13" s="15">
        <f t="shared" si="1"/>
        <v>8.9</v>
      </c>
    </row>
    <row r="14">
      <c r="A14" s="16" t="s">
        <v>32</v>
      </c>
      <c r="B14" s="5"/>
      <c r="C14" s="5"/>
      <c r="D14" s="5"/>
      <c r="E14" s="5"/>
      <c r="F14" s="6"/>
      <c r="G14" s="11">
        <f>SUM(G9,G10,G11,G12,G13)</f>
        <v>84.9</v>
      </c>
    </row>
    <row r="17">
      <c r="A17" s="17" t="s">
        <v>0</v>
      </c>
    </row>
    <row r="18">
      <c r="A18" s="18" t="s">
        <v>34</v>
      </c>
    </row>
    <row r="20">
      <c r="A20" s="3" t="s">
        <v>2</v>
      </c>
      <c r="B20" s="4" t="s">
        <v>9</v>
      </c>
      <c r="C20" s="5"/>
      <c r="D20" s="5"/>
      <c r="E20" s="5"/>
      <c r="F20" s="5"/>
      <c r="G20" s="6"/>
      <c r="I20" s="7" t="s">
        <v>5</v>
      </c>
      <c r="K20" s="1"/>
      <c r="L20" s="1"/>
      <c r="M20" s="1"/>
      <c r="N20" s="1"/>
      <c r="O20" s="1"/>
    </row>
    <row r="21">
      <c r="A21" s="3" t="s">
        <v>6</v>
      </c>
      <c r="B21" s="4" t="s">
        <v>13</v>
      </c>
      <c r="C21" s="5"/>
      <c r="D21" s="5"/>
      <c r="E21" s="5"/>
      <c r="F21" s="5"/>
      <c r="G21" s="6"/>
      <c r="I21" s="19"/>
    </row>
    <row r="23">
      <c r="A23" s="9" t="s">
        <v>12</v>
      </c>
      <c r="B23" s="5"/>
      <c r="C23" s="5"/>
      <c r="D23" s="6"/>
      <c r="E23" s="10" t="s">
        <v>39</v>
      </c>
      <c r="F23" s="6"/>
      <c r="G23" s="11" t="s">
        <v>17</v>
      </c>
    </row>
    <row r="24">
      <c r="A24" s="12" t="s">
        <v>41</v>
      </c>
      <c r="B24" s="5"/>
      <c r="C24" s="5"/>
      <c r="D24" s="6"/>
      <c r="E24" s="13"/>
      <c r="F24" s="14">
        <v>0.4</v>
      </c>
      <c r="G24" s="15">
        <f t="shared" ref="G24:G26" si="2">(E24*F24)</f>
        <v>0</v>
      </c>
    </row>
    <row r="25">
      <c r="A25" s="12" t="s">
        <v>43</v>
      </c>
      <c r="B25" s="5"/>
      <c r="C25" s="5"/>
      <c r="D25" s="6"/>
      <c r="E25" s="22"/>
      <c r="F25" s="14">
        <v>0.3</v>
      </c>
      <c r="G25" s="15">
        <f t="shared" si="2"/>
        <v>0</v>
      </c>
    </row>
    <row r="26">
      <c r="A26" s="12" t="s">
        <v>48</v>
      </c>
      <c r="B26" s="5"/>
      <c r="C26" s="5"/>
      <c r="D26" s="6"/>
      <c r="E26" s="22"/>
      <c r="F26" s="14">
        <v>0.3</v>
      </c>
      <c r="G26" s="15">
        <f t="shared" si="2"/>
        <v>0</v>
      </c>
    </row>
    <row r="27">
      <c r="A27" s="16" t="s">
        <v>32</v>
      </c>
      <c r="B27" s="5"/>
      <c r="C27" s="5"/>
      <c r="D27" s="5"/>
      <c r="E27" s="5"/>
      <c r="F27" s="6"/>
      <c r="G27" s="11">
        <f>SUM(G24,G25,G26)</f>
        <v>0</v>
      </c>
    </row>
    <row r="30">
      <c r="E30" s="20" t="s">
        <v>42</v>
      </c>
      <c r="F30" s="21"/>
      <c r="G30" s="21"/>
    </row>
    <row r="31">
      <c r="E31" s="19" t="s">
        <v>44</v>
      </c>
    </row>
    <row r="32">
      <c r="E32" s="1"/>
      <c r="F32" s="1"/>
      <c r="G32" s="1"/>
    </row>
    <row r="33">
      <c r="E33" s="23">
        <v>46254.0</v>
      </c>
      <c r="F33" s="21"/>
      <c r="G33" s="21"/>
    </row>
    <row r="34">
      <c r="E34" s="1"/>
      <c r="F34" s="19" t="s">
        <v>47</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I1" s="1"/>
      <c r="J1" s="1"/>
      <c r="K1" s="1"/>
      <c r="L1" s="1"/>
      <c r="M1" s="1"/>
      <c r="N1" s="1"/>
      <c r="O1" s="1"/>
    </row>
    <row r="2">
      <c r="A2" s="2" t="s">
        <v>0</v>
      </c>
    </row>
    <row r="3">
      <c r="A3" s="2" t="s">
        <v>1</v>
      </c>
    </row>
    <row r="4">
      <c r="A4" s="1"/>
      <c r="B4" s="1"/>
      <c r="C4" s="1"/>
      <c r="D4" s="1"/>
      <c r="E4" s="1"/>
      <c r="F4" s="1"/>
      <c r="G4" s="1"/>
    </row>
    <row r="5">
      <c r="A5" s="3" t="s">
        <v>2</v>
      </c>
      <c r="B5" s="4" t="s">
        <v>22</v>
      </c>
      <c r="C5" s="5"/>
      <c r="D5" s="5"/>
      <c r="E5" s="5"/>
      <c r="F5" s="5"/>
      <c r="G5" s="6"/>
      <c r="I5" s="7" t="s">
        <v>5</v>
      </c>
      <c r="K5" s="1"/>
      <c r="L5" s="1"/>
      <c r="M5" s="1"/>
      <c r="N5" s="1"/>
      <c r="O5" s="1"/>
    </row>
    <row r="6">
      <c r="A6" s="3" t="s">
        <v>6</v>
      </c>
      <c r="B6" s="4" t="s">
        <v>23</v>
      </c>
      <c r="C6" s="5"/>
      <c r="D6" s="5"/>
      <c r="E6" s="5"/>
      <c r="F6" s="5"/>
      <c r="G6" s="6"/>
      <c r="I6" s="8" t="s">
        <v>24</v>
      </c>
    </row>
    <row r="8">
      <c r="A8" s="9" t="s">
        <v>12</v>
      </c>
      <c r="B8" s="5"/>
      <c r="C8" s="5"/>
      <c r="D8" s="6"/>
      <c r="E8" s="10" t="s">
        <v>28</v>
      </c>
      <c r="F8" s="6"/>
      <c r="G8" s="11" t="s">
        <v>17</v>
      </c>
    </row>
    <row r="9">
      <c r="A9" s="12" t="s">
        <v>31</v>
      </c>
      <c r="B9" s="5"/>
      <c r="C9" s="5"/>
      <c r="D9" s="6"/>
      <c r="E9" s="13">
        <v>84.0</v>
      </c>
      <c r="F9" s="14">
        <v>0.3</v>
      </c>
      <c r="G9" s="15">
        <f t="shared" ref="G9:G13" si="1">(E9*F9)</f>
        <v>25.2</v>
      </c>
    </row>
    <row r="10">
      <c r="A10" s="12" t="s">
        <v>35</v>
      </c>
      <c r="B10" s="5"/>
      <c r="C10" s="5"/>
      <c r="D10" s="6"/>
      <c r="E10" s="13">
        <v>84.0</v>
      </c>
      <c r="F10" s="14">
        <v>0.3</v>
      </c>
      <c r="G10" s="15">
        <f t="shared" si="1"/>
        <v>25.2</v>
      </c>
    </row>
    <row r="11">
      <c r="A11" s="12" t="s">
        <v>27</v>
      </c>
      <c r="B11" s="5"/>
      <c r="C11" s="5"/>
      <c r="D11" s="6"/>
      <c r="E11" s="13">
        <v>85.0</v>
      </c>
      <c r="F11" s="14">
        <v>0.2</v>
      </c>
      <c r="G11" s="15">
        <f t="shared" si="1"/>
        <v>17</v>
      </c>
    </row>
    <row r="12">
      <c r="A12" s="12" t="s">
        <v>29</v>
      </c>
      <c r="B12" s="5"/>
      <c r="C12" s="5"/>
      <c r="D12" s="6"/>
      <c r="E12" s="13">
        <v>83.0</v>
      </c>
      <c r="F12" s="14">
        <v>0.1</v>
      </c>
      <c r="G12" s="15">
        <f t="shared" si="1"/>
        <v>8.3</v>
      </c>
    </row>
    <row r="13">
      <c r="A13" s="12" t="s">
        <v>30</v>
      </c>
      <c r="B13" s="5"/>
      <c r="C13" s="5"/>
      <c r="D13" s="6"/>
      <c r="E13" s="13">
        <v>89.0</v>
      </c>
      <c r="F13" s="14">
        <v>0.1</v>
      </c>
      <c r="G13" s="15">
        <f t="shared" si="1"/>
        <v>8.9</v>
      </c>
    </row>
    <row r="14">
      <c r="A14" s="16" t="s">
        <v>32</v>
      </c>
      <c r="B14" s="5"/>
      <c r="C14" s="5"/>
      <c r="D14" s="5"/>
      <c r="E14" s="5"/>
      <c r="F14" s="6"/>
      <c r="G14" s="11">
        <f>SUM(G9,G10,G11,G12,G13)</f>
        <v>84.6</v>
      </c>
    </row>
    <row r="17">
      <c r="A17" s="17" t="s">
        <v>0</v>
      </c>
    </row>
    <row r="18">
      <c r="A18" s="18" t="s">
        <v>34</v>
      </c>
    </row>
    <row r="20">
      <c r="A20" s="3" t="s">
        <v>2</v>
      </c>
      <c r="B20" s="4" t="s">
        <v>22</v>
      </c>
      <c r="C20" s="5"/>
      <c r="D20" s="5"/>
      <c r="E20" s="5"/>
      <c r="F20" s="5"/>
      <c r="G20" s="6"/>
      <c r="I20" s="7" t="s">
        <v>5</v>
      </c>
      <c r="K20" s="1"/>
      <c r="L20" s="1"/>
      <c r="M20" s="1"/>
      <c r="N20" s="1"/>
      <c r="O20" s="1"/>
    </row>
    <row r="21">
      <c r="A21" s="3" t="s">
        <v>6</v>
      </c>
      <c r="B21" s="4" t="s">
        <v>23</v>
      </c>
      <c r="C21" s="5"/>
      <c r="D21" s="5"/>
      <c r="E21" s="5"/>
      <c r="F21" s="5"/>
      <c r="G21" s="6"/>
      <c r="I21" s="19"/>
    </row>
    <row r="23">
      <c r="A23" s="9" t="s">
        <v>12</v>
      </c>
      <c r="B23" s="5"/>
      <c r="C23" s="5"/>
      <c r="D23" s="6"/>
      <c r="E23" s="10" t="s">
        <v>45</v>
      </c>
      <c r="F23" s="6"/>
      <c r="G23" s="11" t="s">
        <v>17</v>
      </c>
    </row>
    <row r="24">
      <c r="A24" s="12" t="s">
        <v>46</v>
      </c>
      <c r="B24" s="5"/>
      <c r="C24" s="5"/>
      <c r="D24" s="6"/>
      <c r="E24" s="13"/>
      <c r="F24" s="14">
        <v>0.4</v>
      </c>
      <c r="G24" s="15">
        <f t="shared" ref="G24:G26" si="2">(E24*F24)</f>
        <v>0</v>
      </c>
    </row>
    <row r="25">
      <c r="A25" s="12" t="s">
        <v>49</v>
      </c>
      <c r="B25" s="5"/>
      <c r="C25" s="5"/>
      <c r="D25" s="6"/>
      <c r="E25" s="13"/>
      <c r="F25" s="14">
        <v>0.3</v>
      </c>
      <c r="G25" s="15">
        <f t="shared" si="2"/>
        <v>0</v>
      </c>
    </row>
    <row r="26">
      <c r="A26" s="12" t="s">
        <v>50</v>
      </c>
      <c r="B26" s="5"/>
      <c r="C26" s="5"/>
      <c r="D26" s="6"/>
      <c r="E26" s="13"/>
      <c r="F26" s="14">
        <v>0.3</v>
      </c>
      <c r="G26" s="15">
        <f t="shared" si="2"/>
        <v>0</v>
      </c>
    </row>
    <row r="27">
      <c r="A27" s="16" t="s">
        <v>32</v>
      </c>
      <c r="B27" s="5"/>
      <c r="C27" s="5"/>
      <c r="D27" s="5"/>
      <c r="E27" s="5"/>
      <c r="F27" s="6"/>
      <c r="G27" s="11">
        <f>SUM(G24,G25,G26)</f>
        <v>0</v>
      </c>
    </row>
    <row r="30">
      <c r="E30" s="20" t="s">
        <v>42</v>
      </c>
      <c r="F30" s="21"/>
      <c r="G30" s="21"/>
    </row>
    <row r="31">
      <c r="E31" s="19" t="s">
        <v>44</v>
      </c>
    </row>
    <row r="32">
      <c r="E32" s="1"/>
      <c r="F32" s="1"/>
      <c r="G32" s="1"/>
    </row>
    <row r="33">
      <c r="E33" s="23">
        <v>46254.0</v>
      </c>
      <c r="F33" s="21"/>
      <c r="G33" s="21"/>
    </row>
    <row r="34">
      <c r="E34" s="1"/>
      <c r="F34" s="19" t="s">
        <v>47</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I1" s="1"/>
      <c r="J1" s="1"/>
      <c r="K1" s="1"/>
      <c r="L1" s="1"/>
      <c r="M1" s="1"/>
      <c r="N1" s="1"/>
      <c r="O1" s="1"/>
    </row>
    <row r="2">
      <c r="A2" s="2" t="s">
        <v>0</v>
      </c>
    </row>
    <row r="3">
      <c r="A3" s="2" t="s">
        <v>1</v>
      </c>
    </row>
    <row r="4">
      <c r="A4" s="1"/>
      <c r="B4" s="1"/>
      <c r="C4" s="1"/>
      <c r="D4" s="1"/>
      <c r="E4" s="1"/>
      <c r="F4" s="1"/>
      <c r="G4" s="1"/>
    </row>
    <row r="5">
      <c r="A5" s="3" t="s">
        <v>2</v>
      </c>
      <c r="B5" s="24" t="s">
        <v>56</v>
      </c>
      <c r="C5" s="5"/>
      <c r="D5" s="5"/>
      <c r="E5" s="5"/>
      <c r="F5" s="5"/>
      <c r="G5" s="6"/>
      <c r="I5" s="7" t="s">
        <v>5</v>
      </c>
      <c r="K5" s="1"/>
      <c r="L5" s="1"/>
      <c r="M5" s="1"/>
      <c r="N5" s="1"/>
      <c r="O5" s="1"/>
    </row>
    <row r="6">
      <c r="A6" s="3" t="s">
        <v>6</v>
      </c>
      <c r="B6" s="4" t="s">
        <v>57</v>
      </c>
      <c r="C6" s="5"/>
      <c r="D6" s="5"/>
      <c r="E6" s="5"/>
      <c r="F6" s="5"/>
      <c r="G6" s="6"/>
      <c r="I6" s="8" t="s">
        <v>58</v>
      </c>
    </row>
    <row r="8">
      <c r="A8" s="9" t="s">
        <v>12</v>
      </c>
      <c r="B8" s="5"/>
      <c r="C8" s="5"/>
      <c r="D8" s="6"/>
      <c r="E8" s="10" t="s">
        <v>59</v>
      </c>
      <c r="F8" s="6"/>
      <c r="G8" s="11" t="s">
        <v>17</v>
      </c>
    </row>
    <row r="9">
      <c r="A9" s="12" t="s">
        <v>60</v>
      </c>
      <c r="B9" s="5"/>
      <c r="C9" s="5"/>
      <c r="D9" s="6"/>
      <c r="E9" s="13">
        <v>84.0</v>
      </c>
      <c r="F9" s="14">
        <v>0.3</v>
      </c>
      <c r="G9" s="15">
        <f t="shared" ref="G9:G13" si="1">(E9*F9)</f>
        <v>25.2</v>
      </c>
    </row>
    <row r="10">
      <c r="A10" s="12" t="s">
        <v>61</v>
      </c>
      <c r="B10" s="5"/>
      <c r="C10" s="5"/>
      <c r="D10" s="6"/>
      <c r="E10" s="13">
        <v>85.0</v>
      </c>
      <c r="F10" s="14">
        <v>0.3</v>
      </c>
      <c r="G10" s="15">
        <f t="shared" si="1"/>
        <v>25.5</v>
      </c>
    </row>
    <row r="11">
      <c r="A11" s="12" t="s">
        <v>27</v>
      </c>
      <c r="B11" s="5"/>
      <c r="C11" s="5"/>
      <c r="D11" s="6"/>
      <c r="E11" s="13">
        <v>84.0</v>
      </c>
      <c r="F11" s="14">
        <v>0.2</v>
      </c>
      <c r="G11" s="15">
        <f t="shared" si="1"/>
        <v>16.8</v>
      </c>
    </row>
    <row r="12">
      <c r="A12" s="12" t="s">
        <v>29</v>
      </c>
      <c r="B12" s="5"/>
      <c r="C12" s="5"/>
      <c r="D12" s="6"/>
      <c r="E12" s="13">
        <v>82.0</v>
      </c>
      <c r="F12" s="14">
        <v>0.1</v>
      </c>
      <c r="G12" s="15">
        <f t="shared" si="1"/>
        <v>8.2</v>
      </c>
    </row>
    <row r="13">
      <c r="A13" s="12" t="s">
        <v>30</v>
      </c>
      <c r="B13" s="5"/>
      <c r="C13" s="5"/>
      <c r="D13" s="6"/>
      <c r="E13" s="13">
        <v>89.0</v>
      </c>
      <c r="F13" s="14">
        <v>0.1</v>
      </c>
      <c r="G13" s="15">
        <f t="shared" si="1"/>
        <v>8.9</v>
      </c>
    </row>
    <row r="14">
      <c r="A14" s="16" t="s">
        <v>32</v>
      </c>
      <c r="B14" s="5"/>
      <c r="C14" s="5"/>
      <c r="D14" s="5"/>
      <c r="E14" s="5"/>
      <c r="F14" s="6"/>
      <c r="G14" s="11">
        <f>SUM(G9,G10,G11,G12,G13)</f>
        <v>84.6</v>
      </c>
    </row>
    <row r="17">
      <c r="A17" s="17" t="s">
        <v>0</v>
      </c>
    </row>
    <row r="18">
      <c r="A18" s="18" t="s">
        <v>34</v>
      </c>
    </row>
    <row r="20">
      <c r="A20" s="3" t="s">
        <v>2</v>
      </c>
      <c r="B20" s="4" t="s">
        <v>56</v>
      </c>
      <c r="C20" s="5"/>
      <c r="D20" s="5"/>
      <c r="E20" s="5"/>
      <c r="F20" s="5"/>
      <c r="G20" s="6"/>
      <c r="I20" s="7" t="s">
        <v>5</v>
      </c>
      <c r="K20" s="1"/>
      <c r="L20" s="1"/>
      <c r="M20" s="1"/>
      <c r="N20" s="1"/>
      <c r="O20" s="1"/>
    </row>
    <row r="21">
      <c r="A21" s="3" t="s">
        <v>6</v>
      </c>
      <c r="B21" s="4" t="s">
        <v>57</v>
      </c>
      <c r="C21" s="5"/>
      <c r="D21" s="5"/>
      <c r="E21" s="5"/>
      <c r="F21" s="5"/>
      <c r="G21" s="6"/>
      <c r="I21" s="19"/>
    </row>
    <row r="23">
      <c r="A23" s="9" t="s">
        <v>12</v>
      </c>
      <c r="B23" s="5"/>
      <c r="C23" s="5"/>
      <c r="D23" s="6"/>
      <c r="E23" s="10" t="s">
        <v>62</v>
      </c>
      <c r="F23" s="6"/>
      <c r="G23" s="11" t="s">
        <v>17</v>
      </c>
    </row>
    <row r="24">
      <c r="A24" s="12" t="s">
        <v>63</v>
      </c>
      <c r="B24" s="5"/>
      <c r="C24" s="5"/>
      <c r="D24" s="6"/>
      <c r="E24" s="13"/>
      <c r="F24" s="14">
        <v>0.4</v>
      </c>
      <c r="G24" s="15">
        <f t="shared" ref="G24:G26" si="2">(E24*F24)</f>
        <v>0</v>
      </c>
    </row>
    <row r="25">
      <c r="A25" s="12" t="s">
        <v>64</v>
      </c>
      <c r="B25" s="5"/>
      <c r="C25" s="5"/>
      <c r="D25" s="6"/>
      <c r="E25" s="13"/>
      <c r="F25" s="14">
        <v>0.3</v>
      </c>
      <c r="G25" s="15">
        <f t="shared" si="2"/>
        <v>0</v>
      </c>
    </row>
    <row r="26">
      <c r="A26" s="12" t="s">
        <v>65</v>
      </c>
      <c r="B26" s="5"/>
      <c r="C26" s="5"/>
      <c r="D26" s="6"/>
      <c r="E26" s="13"/>
      <c r="F26" s="14">
        <v>0.3</v>
      </c>
      <c r="G26" s="15">
        <f t="shared" si="2"/>
        <v>0</v>
      </c>
    </row>
    <row r="27">
      <c r="A27" s="16" t="s">
        <v>32</v>
      </c>
      <c r="B27" s="5"/>
      <c r="C27" s="5"/>
      <c r="D27" s="5"/>
      <c r="E27" s="5"/>
      <c r="F27" s="6"/>
      <c r="G27" s="11">
        <f>SUM(G24,G25,G26)</f>
        <v>0</v>
      </c>
    </row>
    <row r="30">
      <c r="E30" s="20" t="s">
        <v>42</v>
      </c>
      <c r="F30" s="21"/>
      <c r="G30" s="21"/>
    </row>
    <row r="31">
      <c r="E31" s="19" t="s">
        <v>44</v>
      </c>
    </row>
    <row r="32">
      <c r="E32" s="1"/>
      <c r="F32" s="1"/>
      <c r="G32" s="1"/>
    </row>
    <row r="33">
      <c r="E33" s="23">
        <v>46254.0</v>
      </c>
      <c r="F33" s="21"/>
      <c r="G33" s="21"/>
    </row>
    <row r="34">
      <c r="E34" s="1"/>
      <c r="F34" s="19" t="s">
        <v>47</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38"/>
    <col customWidth="1" min="15" max="15" width="27.63"/>
  </cols>
  <sheetData>
    <row r="1">
      <c r="I1" s="1"/>
      <c r="J1" s="1"/>
      <c r="K1" s="1"/>
      <c r="L1" s="1"/>
      <c r="M1" s="1"/>
      <c r="N1" s="1"/>
      <c r="O1" s="1"/>
    </row>
    <row r="2">
      <c r="A2" s="2" t="s">
        <v>0</v>
      </c>
    </row>
    <row r="3">
      <c r="A3" s="2" t="s">
        <v>1</v>
      </c>
    </row>
    <row r="4">
      <c r="A4" s="1"/>
      <c r="B4" s="1"/>
      <c r="C4" s="1"/>
      <c r="D4" s="1"/>
      <c r="E4" s="1"/>
      <c r="F4" s="1"/>
      <c r="G4" s="1"/>
    </row>
    <row r="5">
      <c r="A5" s="3" t="s">
        <v>2</v>
      </c>
      <c r="B5" s="24" t="s">
        <v>66</v>
      </c>
      <c r="C5" s="5"/>
      <c r="D5" s="5"/>
      <c r="E5" s="5"/>
      <c r="F5" s="5"/>
      <c r="G5" s="6"/>
      <c r="I5" s="7" t="s">
        <v>5</v>
      </c>
      <c r="K5" s="1"/>
      <c r="L5" s="1"/>
      <c r="M5" s="1"/>
      <c r="N5" s="1"/>
      <c r="O5" s="1"/>
    </row>
    <row r="6">
      <c r="A6" s="3" t="s">
        <v>6</v>
      </c>
      <c r="B6" s="4" t="s">
        <v>67</v>
      </c>
      <c r="C6" s="5"/>
      <c r="D6" s="5"/>
      <c r="E6" s="5"/>
      <c r="F6" s="5"/>
      <c r="G6" s="6"/>
      <c r="I6" s="8" t="s">
        <v>68</v>
      </c>
    </row>
    <row r="8">
      <c r="A8" s="9" t="s">
        <v>12</v>
      </c>
      <c r="B8" s="5"/>
      <c r="C8" s="5"/>
      <c r="D8" s="6"/>
      <c r="E8" s="10" t="s">
        <v>69</v>
      </c>
      <c r="F8" s="6"/>
      <c r="G8" s="11" t="s">
        <v>17</v>
      </c>
    </row>
    <row r="9">
      <c r="A9" s="12" t="s">
        <v>70</v>
      </c>
      <c r="B9" s="5"/>
      <c r="C9" s="5"/>
      <c r="D9" s="6"/>
      <c r="E9" s="13">
        <v>84.0</v>
      </c>
      <c r="F9" s="14">
        <v>0.3</v>
      </c>
      <c r="G9" s="15">
        <f t="shared" ref="G9:G13" si="1">(E9*F9)</f>
        <v>25.2</v>
      </c>
    </row>
    <row r="10">
      <c r="A10" s="12" t="s">
        <v>74</v>
      </c>
      <c r="B10" s="5"/>
      <c r="C10" s="5"/>
      <c r="D10" s="6"/>
      <c r="E10" s="13">
        <v>84.0</v>
      </c>
      <c r="F10" s="14">
        <v>0.3</v>
      </c>
      <c r="G10" s="15">
        <f t="shared" si="1"/>
        <v>25.2</v>
      </c>
    </row>
    <row r="11">
      <c r="A11" s="12" t="s">
        <v>27</v>
      </c>
      <c r="B11" s="5"/>
      <c r="C11" s="5"/>
      <c r="D11" s="6"/>
      <c r="E11" s="13">
        <v>86.0</v>
      </c>
      <c r="F11" s="14">
        <v>0.2</v>
      </c>
      <c r="G11" s="15">
        <f t="shared" si="1"/>
        <v>17.2</v>
      </c>
    </row>
    <row r="12">
      <c r="A12" s="12" t="s">
        <v>29</v>
      </c>
      <c r="B12" s="5"/>
      <c r="C12" s="5"/>
      <c r="D12" s="6"/>
      <c r="E12" s="13">
        <v>83.0</v>
      </c>
      <c r="F12" s="14">
        <v>0.1</v>
      </c>
      <c r="G12" s="15">
        <f t="shared" si="1"/>
        <v>8.3</v>
      </c>
    </row>
    <row r="13">
      <c r="A13" s="12" t="s">
        <v>30</v>
      </c>
      <c r="B13" s="5"/>
      <c r="C13" s="5"/>
      <c r="D13" s="6"/>
      <c r="E13" s="13">
        <v>88.0</v>
      </c>
      <c r="F13" s="14">
        <v>0.1</v>
      </c>
      <c r="G13" s="15">
        <f t="shared" si="1"/>
        <v>8.8</v>
      </c>
    </row>
    <row r="14">
      <c r="A14" s="16" t="s">
        <v>32</v>
      </c>
      <c r="B14" s="5"/>
      <c r="C14" s="5"/>
      <c r="D14" s="5"/>
      <c r="E14" s="5"/>
      <c r="F14" s="6"/>
      <c r="G14" s="11">
        <f>SUM(G9,G10,G11,G12,G13)</f>
        <v>84.7</v>
      </c>
    </row>
    <row r="17">
      <c r="A17" s="17" t="s">
        <v>0</v>
      </c>
    </row>
    <row r="18">
      <c r="A18" s="18" t="s">
        <v>34</v>
      </c>
    </row>
    <row r="20">
      <c r="A20" s="3" t="s">
        <v>2</v>
      </c>
      <c r="B20" s="4" t="s">
        <v>66</v>
      </c>
      <c r="C20" s="5"/>
      <c r="D20" s="5"/>
      <c r="E20" s="5"/>
      <c r="F20" s="5"/>
      <c r="G20" s="6"/>
      <c r="I20" s="7" t="s">
        <v>5</v>
      </c>
      <c r="K20" s="1"/>
      <c r="L20" s="1"/>
      <c r="M20" s="1"/>
      <c r="N20" s="1"/>
      <c r="O20" s="1"/>
    </row>
    <row r="21">
      <c r="A21" s="3" t="s">
        <v>6</v>
      </c>
      <c r="B21" s="4" t="s">
        <v>67</v>
      </c>
      <c r="C21" s="5"/>
      <c r="D21" s="5"/>
      <c r="E21" s="5"/>
      <c r="F21" s="5"/>
      <c r="G21" s="6"/>
      <c r="I21" s="19"/>
    </row>
    <row r="23">
      <c r="A23" s="9" t="s">
        <v>12</v>
      </c>
      <c r="B23" s="5"/>
      <c r="C23" s="5"/>
      <c r="D23" s="6"/>
      <c r="E23" s="10" t="s">
        <v>77</v>
      </c>
      <c r="F23" s="6"/>
      <c r="G23" s="11" t="s">
        <v>17</v>
      </c>
    </row>
    <row r="24">
      <c r="A24" s="12" t="s">
        <v>79</v>
      </c>
      <c r="B24" s="5"/>
      <c r="C24" s="5"/>
      <c r="D24" s="6"/>
      <c r="E24" s="13"/>
      <c r="F24" s="14">
        <v>0.4</v>
      </c>
      <c r="G24" s="15">
        <f t="shared" ref="G24:G26" si="2">(E24*F24)</f>
        <v>0</v>
      </c>
    </row>
    <row r="25">
      <c r="A25" s="12" t="s">
        <v>80</v>
      </c>
      <c r="B25" s="5"/>
      <c r="C25" s="5"/>
      <c r="D25" s="6"/>
      <c r="E25" s="22"/>
      <c r="F25" s="14">
        <v>0.3</v>
      </c>
      <c r="G25" s="15">
        <f t="shared" si="2"/>
        <v>0</v>
      </c>
    </row>
    <row r="26">
      <c r="A26" s="12" t="s">
        <v>81</v>
      </c>
      <c r="B26" s="5"/>
      <c r="C26" s="5"/>
      <c r="D26" s="6"/>
      <c r="E26" s="22"/>
      <c r="F26" s="14">
        <v>0.3</v>
      </c>
      <c r="G26" s="15">
        <f t="shared" si="2"/>
        <v>0</v>
      </c>
    </row>
    <row r="27">
      <c r="A27" s="16" t="s">
        <v>32</v>
      </c>
      <c r="B27" s="5"/>
      <c r="C27" s="5"/>
      <c r="D27" s="5"/>
      <c r="E27" s="5"/>
      <c r="F27" s="6"/>
      <c r="G27" s="11">
        <f>SUM(G24,G25,G26)</f>
        <v>0</v>
      </c>
    </row>
    <row r="30">
      <c r="E30" s="20" t="s">
        <v>42</v>
      </c>
      <c r="F30" s="21"/>
      <c r="G30" s="21"/>
    </row>
    <row r="31">
      <c r="E31" s="19" t="s">
        <v>44</v>
      </c>
    </row>
    <row r="32">
      <c r="E32" s="1"/>
      <c r="F32" s="1"/>
      <c r="G32" s="1"/>
    </row>
    <row r="33">
      <c r="E33" s="23">
        <v>46254.0</v>
      </c>
      <c r="F33" s="21"/>
      <c r="G33" s="21"/>
    </row>
    <row r="34">
      <c r="E34" s="1"/>
      <c r="F34" s="19" t="s">
        <v>47</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88"/>
    <col customWidth="1" min="15" max="15" width="13.13"/>
  </cols>
  <sheetData>
    <row r="1">
      <c r="I1" s="1"/>
      <c r="J1" s="1"/>
      <c r="K1" s="1"/>
      <c r="L1" s="1"/>
      <c r="M1" s="1"/>
      <c r="N1" s="1"/>
      <c r="O1" s="1"/>
    </row>
    <row r="2">
      <c r="A2" s="2" t="s">
        <v>0</v>
      </c>
    </row>
    <row r="3">
      <c r="A3" s="2" t="s">
        <v>1</v>
      </c>
    </row>
    <row r="4">
      <c r="A4" s="1"/>
      <c r="B4" s="1"/>
      <c r="C4" s="1"/>
      <c r="D4" s="1"/>
      <c r="E4" s="1"/>
      <c r="F4" s="1"/>
      <c r="G4" s="1"/>
    </row>
    <row r="5" ht="27.0" customHeight="1">
      <c r="A5" s="3" t="s">
        <v>2</v>
      </c>
      <c r="B5" s="24" t="s">
        <v>71</v>
      </c>
      <c r="C5" s="5"/>
      <c r="D5" s="5"/>
      <c r="E5" s="5"/>
      <c r="F5" s="5"/>
      <c r="G5" s="6"/>
      <c r="I5" s="7" t="s">
        <v>5</v>
      </c>
      <c r="K5" s="1"/>
      <c r="L5" s="1"/>
      <c r="M5" s="1"/>
      <c r="N5" s="1"/>
      <c r="O5" s="1"/>
    </row>
    <row r="6">
      <c r="A6" s="3" t="s">
        <v>6</v>
      </c>
      <c r="B6" s="4" t="s">
        <v>72</v>
      </c>
      <c r="C6" s="5"/>
      <c r="D6" s="5"/>
      <c r="E6" s="5"/>
      <c r="F6" s="5"/>
      <c r="G6" s="6"/>
      <c r="I6" s="8" t="s">
        <v>73</v>
      </c>
    </row>
    <row r="8">
      <c r="A8" s="9" t="s">
        <v>12</v>
      </c>
      <c r="B8" s="5"/>
      <c r="C8" s="5"/>
      <c r="D8" s="6"/>
      <c r="E8" s="10" t="s">
        <v>75</v>
      </c>
      <c r="F8" s="6"/>
      <c r="G8" s="11" t="s">
        <v>17</v>
      </c>
    </row>
    <row r="9">
      <c r="A9" s="12" t="s">
        <v>76</v>
      </c>
      <c r="B9" s="5"/>
      <c r="C9" s="5"/>
      <c r="D9" s="6"/>
      <c r="E9" s="13">
        <v>84.0</v>
      </c>
      <c r="F9" s="14">
        <v>0.3</v>
      </c>
      <c r="G9" s="15">
        <f t="shared" ref="G9:G13" si="1">(E9*F9)</f>
        <v>25.2</v>
      </c>
    </row>
    <row r="10">
      <c r="A10" s="12" t="s">
        <v>78</v>
      </c>
      <c r="B10" s="5"/>
      <c r="C10" s="5"/>
      <c r="D10" s="6"/>
      <c r="E10" s="13">
        <v>83.0</v>
      </c>
      <c r="F10" s="14">
        <v>0.3</v>
      </c>
      <c r="G10" s="15">
        <f t="shared" si="1"/>
        <v>24.9</v>
      </c>
    </row>
    <row r="11">
      <c r="A11" s="12" t="s">
        <v>27</v>
      </c>
      <c r="B11" s="5"/>
      <c r="C11" s="5"/>
      <c r="D11" s="6"/>
      <c r="E11" s="13">
        <v>85.0</v>
      </c>
      <c r="F11" s="14">
        <v>0.2</v>
      </c>
      <c r="G11" s="15">
        <f t="shared" si="1"/>
        <v>17</v>
      </c>
    </row>
    <row r="12">
      <c r="A12" s="12" t="s">
        <v>29</v>
      </c>
      <c r="B12" s="5"/>
      <c r="C12" s="5"/>
      <c r="D12" s="6"/>
      <c r="E12" s="13">
        <v>83.0</v>
      </c>
      <c r="F12" s="14">
        <v>0.1</v>
      </c>
      <c r="G12" s="15">
        <f t="shared" si="1"/>
        <v>8.3</v>
      </c>
    </row>
    <row r="13">
      <c r="A13" s="12" t="s">
        <v>30</v>
      </c>
      <c r="B13" s="5"/>
      <c r="C13" s="5"/>
      <c r="D13" s="6"/>
      <c r="E13" s="13">
        <v>86.0</v>
      </c>
      <c r="F13" s="14">
        <v>0.1</v>
      </c>
      <c r="G13" s="15">
        <f t="shared" si="1"/>
        <v>8.6</v>
      </c>
    </row>
    <row r="14">
      <c r="A14" s="16" t="s">
        <v>32</v>
      </c>
      <c r="B14" s="5"/>
      <c r="C14" s="5"/>
      <c r="D14" s="5"/>
      <c r="E14" s="5"/>
      <c r="F14" s="6"/>
      <c r="G14" s="11">
        <f>SUM(G9,G10,G11,G12,G13)</f>
        <v>84</v>
      </c>
    </row>
    <row r="17">
      <c r="A17" s="17" t="s">
        <v>0</v>
      </c>
    </row>
    <row r="18">
      <c r="A18" s="18" t="s">
        <v>34</v>
      </c>
    </row>
    <row r="20">
      <c r="A20" s="3" t="s">
        <v>2</v>
      </c>
      <c r="B20" s="24" t="s">
        <v>71</v>
      </c>
      <c r="C20" s="5"/>
      <c r="D20" s="5"/>
      <c r="E20" s="5"/>
      <c r="F20" s="5"/>
      <c r="G20" s="6"/>
      <c r="I20" s="7" t="s">
        <v>5</v>
      </c>
      <c r="K20" s="1"/>
      <c r="L20" s="1"/>
      <c r="M20" s="1"/>
      <c r="N20" s="1"/>
      <c r="O20" s="1"/>
    </row>
    <row r="21">
      <c r="A21" s="3" t="s">
        <v>6</v>
      </c>
      <c r="B21" s="4" t="s">
        <v>72</v>
      </c>
      <c r="C21" s="5"/>
      <c r="D21" s="5"/>
      <c r="E21" s="5"/>
      <c r="F21" s="5"/>
      <c r="G21" s="6"/>
      <c r="I21" s="19"/>
    </row>
    <row r="23">
      <c r="A23" s="9" t="s">
        <v>12</v>
      </c>
      <c r="B23" s="5"/>
      <c r="C23" s="5"/>
      <c r="D23" s="6"/>
      <c r="E23" s="10" t="s">
        <v>82</v>
      </c>
      <c r="F23" s="6"/>
      <c r="G23" s="11" t="s">
        <v>17</v>
      </c>
    </row>
    <row r="24">
      <c r="A24" s="12" t="s">
        <v>83</v>
      </c>
      <c r="B24" s="5"/>
      <c r="C24" s="5"/>
      <c r="D24" s="6"/>
      <c r="E24" s="13"/>
      <c r="F24" s="14">
        <v>0.4</v>
      </c>
      <c r="G24" s="15">
        <f t="shared" ref="G24:G26" si="2">(E24*F24)</f>
        <v>0</v>
      </c>
    </row>
    <row r="25">
      <c r="A25" s="12" t="s">
        <v>84</v>
      </c>
      <c r="B25" s="5"/>
      <c r="C25" s="5"/>
      <c r="D25" s="6"/>
      <c r="E25" s="22"/>
      <c r="F25" s="14">
        <v>0.3</v>
      </c>
      <c r="G25" s="15">
        <f t="shared" si="2"/>
        <v>0</v>
      </c>
    </row>
    <row r="26">
      <c r="A26" s="12" t="s">
        <v>85</v>
      </c>
      <c r="B26" s="5"/>
      <c r="C26" s="5"/>
      <c r="D26" s="6"/>
      <c r="E26" s="22"/>
      <c r="F26" s="14">
        <v>0.3</v>
      </c>
      <c r="G26" s="15">
        <f t="shared" si="2"/>
        <v>0</v>
      </c>
    </row>
    <row r="27">
      <c r="A27" s="16" t="s">
        <v>32</v>
      </c>
      <c r="B27" s="5"/>
      <c r="C27" s="5"/>
      <c r="D27" s="5"/>
      <c r="E27" s="5"/>
      <c r="F27" s="6"/>
      <c r="G27" s="11">
        <f>SUM(G24,G25,G26)</f>
        <v>0</v>
      </c>
    </row>
    <row r="30">
      <c r="E30" s="20" t="s">
        <v>42</v>
      </c>
      <c r="F30" s="21"/>
      <c r="G30" s="21"/>
    </row>
    <row r="31">
      <c r="E31" s="19" t="s">
        <v>44</v>
      </c>
    </row>
    <row r="32">
      <c r="E32" s="1"/>
      <c r="F32" s="1"/>
      <c r="G32" s="1"/>
    </row>
    <row r="33">
      <c r="E33" s="23">
        <v>46254.0</v>
      </c>
      <c r="F33" s="21"/>
      <c r="G33" s="21"/>
    </row>
    <row r="34">
      <c r="E34" s="1"/>
      <c r="F34" s="19" t="s">
        <v>47</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