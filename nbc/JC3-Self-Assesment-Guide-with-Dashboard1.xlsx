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ublic\renatomaaliw3.github.io\nbc\"/>
    </mc:Choice>
  </mc:AlternateContent>
  <xr:revisionPtr revIDLastSave="0" documentId="8_{FDC4289C-AF02-44DC-B643-AA58D982CEDE}" xr6:coauthVersionLast="47" xr6:coauthVersionMax="47" xr10:uidLastSave="{00000000-0000-0000-0000-000000000000}"/>
  <bookViews>
    <workbookView xWindow="-108" yWindow="-108" windowWidth="23256" windowHeight="12576" tabRatio="500" activeTab="3" xr2:uid="{00000000-000D-0000-FFFF-FFFF00000000}"/>
  </bookViews>
  <sheets>
    <sheet name="Instructions" sheetId="1" r:id="rId1"/>
    <sheet name="Dashboard" sheetId="2" r:id="rId2"/>
    <sheet name="Rank_Tables" sheetId="3" r:id="rId3"/>
    <sheet name="KRA_I" sheetId="4" r:id="rId4"/>
    <sheet name="KRA_II" sheetId="5" r:id="rId5"/>
    <sheet name="KRA_III" sheetId="6" r:id="rId6"/>
    <sheet name="KRA_IV"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7" i="4" l="1"/>
  <c r="I6" i="4"/>
  <c r="I24" i="4"/>
  <c r="I16" i="7"/>
  <c r="I17" i="7"/>
  <c r="I18" i="7"/>
  <c r="I19" i="7"/>
  <c r="I28" i="6"/>
  <c r="I29" i="6"/>
  <c r="I30" i="6"/>
  <c r="I31" i="6"/>
  <c r="I32" i="6"/>
  <c r="I33" i="6"/>
  <c r="I34" i="6"/>
  <c r="I35" i="6"/>
  <c r="I22" i="6"/>
  <c r="I6" i="6"/>
  <c r="I10" i="5"/>
  <c r="I11" i="5"/>
  <c r="I39" i="7"/>
  <c r="I38" i="7"/>
  <c r="I37" i="7"/>
  <c r="I36" i="7"/>
  <c r="I35" i="7"/>
  <c r="I34" i="7"/>
  <c r="I40" i="7" s="1"/>
  <c r="I41" i="7" s="1"/>
  <c r="I33" i="7"/>
  <c r="I27" i="7"/>
  <c r="I28" i="7" s="1"/>
  <c r="I29" i="7" s="1"/>
  <c r="I26" i="7"/>
  <c r="I25" i="7"/>
  <c r="I15" i="7"/>
  <c r="I14" i="7"/>
  <c r="I13" i="7"/>
  <c r="I12" i="7"/>
  <c r="I6" i="7"/>
  <c r="I7" i="7" s="1"/>
  <c r="I8" i="7" s="1"/>
  <c r="I66" i="6"/>
  <c r="I65" i="6"/>
  <c r="I64" i="6"/>
  <c r="I63" i="6"/>
  <c r="I62" i="6"/>
  <c r="I61" i="6"/>
  <c r="I60" i="6"/>
  <c r="I59" i="6"/>
  <c r="I58" i="6"/>
  <c r="I57" i="6"/>
  <c r="I56" i="6"/>
  <c r="I55" i="6"/>
  <c r="I54" i="6"/>
  <c r="I53" i="6"/>
  <c r="I52" i="6"/>
  <c r="I51" i="6"/>
  <c r="I50" i="6"/>
  <c r="I49" i="6"/>
  <c r="I48" i="6"/>
  <c r="I47" i="6"/>
  <c r="I41" i="6"/>
  <c r="I42" i="6" s="1"/>
  <c r="I43" i="6" s="1"/>
  <c r="I27" i="6"/>
  <c r="I26" i="6"/>
  <c r="I25" i="6"/>
  <c r="I24" i="6"/>
  <c r="I23" i="6"/>
  <c r="I16" i="6"/>
  <c r="I15" i="6"/>
  <c r="I14" i="6"/>
  <c r="I13" i="6"/>
  <c r="I12" i="6"/>
  <c r="I11" i="6"/>
  <c r="I10" i="6"/>
  <c r="I9" i="6"/>
  <c r="I8" i="6"/>
  <c r="I7" i="6"/>
  <c r="I17" i="6"/>
  <c r="I18" i="6" s="1"/>
  <c r="I49" i="5"/>
  <c r="I48" i="5"/>
  <c r="I47" i="5"/>
  <c r="I46" i="5"/>
  <c r="I45" i="5"/>
  <c r="I44" i="5"/>
  <c r="I43" i="5"/>
  <c r="I42" i="5"/>
  <c r="I41" i="5"/>
  <c r="I50" i="5" s="1"/>
  <c r="I51" i="5" s="1"/>
  <c r="I40" i="5"/>
  <c r="I39" i="5"/>
  <c r="I38" i="5"/>
  <c r="I37" i="5"/>
  <c r="I36" i="5"/>
  <c r="I35" i="5"/>
  <c r="I34" i="5"/>
  <c r="I33" i="5"/>
  <c r="I32" i="5"/>
  <c r="I26" i="5"/>
  <c r="I25" i="5"/>
  <c r="I24" i="5"/>
  <c r="I23" i="5"/>
  <c r="I22" i="5"/>
  <c r="I21" i="5"/>
  <c r="I20" i="5"/>
  <c r="I19" i="5"/>
  <c r="I18" i="5"/>
  <c r="I17" i="5"/>
  <c r="I9" i="5"/>
  <c r="I8" i="5"/>
  <c r="I7" i="5"/>
  <c r="I6" i="5"/>
  <c r="I32" i="4"/>
  <c r="I31" i="4"/>
  <c r="I30" i="4"/>
  <c r="I29" i="4"/>
  <c r="I28" i="4"/>
  <c r="I27" i="4"/>
  <c r="I26" i="4"/>
  <c r="I25" i="4"/>
  <c r="I18" i="4"/>
  <c r="I17" i="4"/>
  <c r="I16" i="4"/>
  <c r="I15" i="4"/>
  <c r="I14" i="4"/>
  <c r="I13" i="4"/>
  <c r="I19" i="4" s="1"/>
  <c r="I20" i="4" s="1"/>
  <c r="E19" i="2"/>
  <c r="E21" i="2" s="1"/>
  <c r="B14" i="2"/>
  <c r="I27" i="5" l="1"/>
  <c r="I28" i="5" s="1"/>
  <c r="I8" i="4"/>
  <c r="I9" i="4" s="1"/>
  <c r="I67" i="6"/>
  <c r="I68" i="6" s="1"/>
  <c r="I12" i="5"/>
  <c r="I13" i="5" s="1"/>
  <c r="I33" i="4"/>
  <c r="I34" i="4" s="1"/>
  <c r="I36" i="6"/>
  <c r="I37" i="6" s="1"/>
  <c r="I20" i="7"/>
  <c r="I21" i="7" s="1"/>
  <c r="I45" i="7" s="1"/>
  <c r="I46" i="7" s="1"/>
  <c r="C13" i="2" s="1"/>
  <c r="E13" i="2" s="1"/>
  <c r="E20" i="2"/>
  <c r="I55" i="5" l="1"/>
  <c r="I56" i="5" s="1"/>
  <c r="C11" i="2" s="1"/>
  <c r="E11" i="2" s="1"/>
  <c r="I38" i="4"/>
  <c r="I39" i="4" s="1"/>
  <c r="C10" i="2" s="1"/>
  <c r="E10" i="2" s="1"/>
  <c r="I72" i="6"/>
  <c r="I73" i="6" s="1"/>
  <c r="C12" i="2" s="1"/>
  <c r="E12" i="2" s="1"/>
  <c r="D13" i="2"/>
  <c r="E39" i="2"/>
  <c r="E24" i="2"/>
  <c r="E22" i="2"/>
  <c r="E25" i="2"/>
  <c r="E23" i="2"/>
  <c r="D12" i="2" l="1"/>
  <c r="D11" i="2"/>
  <c r="D10" i="2"/>
  <c r="C14" i="2"/>
  <c r="D14" i="2" s="1"/>
  <c r="E26" i="2"/>
  <c r="E27" i="2" s="1"/>
  <c r="E28" i="2" s="1"/>
  <c r="E29" i="2" s="1"/>
  <c r="E34" i="2" s="1"/>
  <c r="E30" i="2" l="1"/>
  <c r="E31" i="2"/>
  <c r="E32" i="2"/>
  <c r="E33" i="2"/>
  <c r="E35" i="2" l="1"/>
  <c r="E36" i="2" s="1"/>
  <c r="E37" i="2" s="1"/>
  <c r="E38" i="2" s="1"/>
  <c r="E40" i="2" s="1"/>
  <c r="E43" i="2" l="1"/>
  <c r="E42" i="2"/>
  <c r="E41" i="2"/>
</calcChain>
</file>

<file path=xl/sharedStrings.xml><?xml version="1.0" encoding="utf-8"?>
<sst xmlns="http://schemas.openxmlformats.org/spreadsheetml/2006/main" count="632" uniqueCount="376">
  <si>
    <t>FACULTY POINTS ALLOCATION &amp; MONITORING WORKBOOK</t>
  </si>
  <si>
    <t>Reference: DBM-CHED Joint Circular No. 1, s. 2026 — Enhanced Implementing Guidelines of DBM-CHED Joint Circular No. 3, s. 2022 (Annex A — List of Criteria and Documentary Evidences, pp. 74-101)</t>
  </si>
  <si>
    <t>HOW THIS WORKBOOK IS ORGANIZED</t>
  </si>
  <si>
    <t>Dashboard</t>
  </si>
  <si>
    <t>At-a-glance summary of points earned versus max per KRA, the Academic Rank Reclassification Calculator, status flags, and a chart. Fill in your basic information at the top.</t>
  </si>
  <si>
    <t>Rank_Tables</t>
  </si>
  <si>
    <t>Reference tables transcribed from your source document: Table 2.2 (KRA Weights per Faculty Rank), Table 3.1 (Score Bracket to Sub-rank Increment), and Table 3.2 (Faculty Positions/Salary Grades in SUCs).</t>
  </si>
  <si>
    <t>KRA I - Instruction</t>
  </si>
  <si>
    <t>Teaching Effectiveness (SET/SEF), Instructional Materials Development, and Research Advising &amp; Mentorship Services. Maximum: 100 points.</t>
  </si>
  <si>
    <t>KRA II - Research, Innovation and/or Creative Work</t>
  </si>
  <si>
    <t>Research Outputs Published, Inventions, and Creative Works. Each criterion caps at 100, but the overall KRA is capped at 100 points.</t>
  </si>
  <si>
    <t>KRA III - Extension Services</t>
  </si>
  <si>
    <t>Service to the Institution, Service to the Community, Relevance &amp; Quality of Extension Services, plus Criterion D - a Bonus indicator for Administrative Designations. All four criteria feed into the same 100-point cap.</t>
  </si>
  <si>
    <t>KRA IV - Professional Development</t>
  </si>
  <si>
    <t>Involvement in Professional Organizations, Continuing Development, Awards and Recognition, plus Criterion D - Additional Points for Newly Appointed/Hired Faculty (prior academic/industry experience). All four criteria feed into the same 100-point cap.</t>
  </si>
  <si>
    <t>HOW TO USE THIS WORKBOOK</t>
  </si>
  <si>
    <t>Step 1</t>
  </si>
  <si>
    <t>Go to each KRA sheet (tabs at the bottom) and review the list of criteria and point-earning items, drawn directly from Annex A of the Enhanced Implementing Guidelines.</t>
  </si>
  <si>
    <t>Step 2</t>
  </si>
  <si>
    <t>In the 'Qty / Units Claimed' column (yellow cells, blue text), enter the number of times you qualify for each item (e.g., number of textbooks authored, number of conferences attended, or your actual SET/SEF score).</t>
  </si>
  <si>
    <t>Step 3</t>
  </si>
  <si>
    <t>If an item was co-authored, co-invented, or co-created, set 'My % Share (Co-Authorship)' to your certified percentage contribution (per the Annex C-I Certificate of Contribution forms). It defaults to 100% for sole credit - only change it when points must be shared among two or more people.</t>
  </si>
  <si>
    <t>Step 4</t>
  </si>
  <si>
    <t>'Points Earned' calculates automatically (Points per Unit x Qty x My % Share), and is automatically capped where the guidelines impose an item-level or criterion-level maximum.</t>
  </si>
  <si>
    <t>Step 5</t>
  </si>
  <si>
    <t>Update the 'Evidence Status' dropdown for each line item (Not Started / In Progress / Evidence Complete / Submitted / Verified) to track your documentary evidence readiness.</t>
  </si>
  <si>
    <t>Step 6</t>
  </si>
  <si>
    <t>Use the 'Remarks / Evidence Notes' column to jot down where each piece of evidence is filed, or any clarifying notes.</t>
  </si>
  <si>
    <t>Step 7</t>
  </si>
  <si>
    <t>Check the Dashboard sheet - it automatically pulls your capped totals from every KRA sheet and shows your overall standing against the 400-point maximum (100 per KRA).</t>
  </si>
  <si>
    <t>Step 8</t>
  </si>
  <si>
    <t>On the Dashboard, select your Current Sub-Rank from the dropdown. The Academic Rank Reclassification Calculator automatically applies your rank's KRA weights (Table 2.2), computes your Weighted Composite Score, determines your sub-rank increment (Table 3.1), and shows your Final Awarded Sub-Rank and Salary Grade - including the cross-rank recomputation rule (Section 8.3) if applicable.</t>
  </si>
  <si>
    <t>IMPORTANT NOTES</t>
  </si>
  <si>
    <t>Co-authorship / Co-inventorship</t>
  </si>
  <si>
    <t>Several items require a signed Certificate of Contribution form (Annexes C through I of the Guidelines) to apportion points among co-authors, co-inventors, or co-creators. Keep these on file.</t>
  </si>
  <si>
    <t>Point Sharing</t>
  </si>
  <si>
    <t>Use the 'My % Share (Co-Authorship)' column on each KRA sheet to split points for jointly-produced outputs. Example: a 100-point Academic Book with 2 equal co-authors - set Qty=1 and My % Share=50% to correctly credit 50 points to you. If contribution is unequal, use the certified percentage from the Certificate of Contribution form.</t>
  </si>
  <si>
    <t>Bracketed / Tiered Items</t>
  </si>
  <si>
    <t>Some items (e.g., income generation, invention patenting stages, administrative designations) list multiple point values for different tiers or stages. Each tier is listed as its own row - enter a quantity only for the row(s) that actually apply to you.</t>
  </si>
  <si>
    <t>KRA II Cap</t>
  </si>
  <si>
    <t>Research Outputs Published, Inventions, and Creative Works are each capped at 100 points individually, but your overall KRA II score is capped at 100 points total (not 300).</t>
  </si>
  <si>
    <t>KRA III Criterion D (Bonus)</t>
  </si>
  <si>
    <t>Per Section 36 of the Enhanced Guidelines, points for Administrative Designations are 'added on top' of Criteria A+B+C, but KRA III's final total still cannot exceed 100 points - so Criterion D mainly helps you reach the cap faster, it does not push you past it.</t>
  </si>
  <si>
    <t>KRA IV Criterion D</t>
  </si>
  <si>
    <t>Per Sections 37 and 44, Additional Points for Newly Appointed/Hired Faculty (prior academic or industry experience before SUC appointment) is one of four criteria (A+B+C+D) that together are capped at 100 points for KRA IV.</t>
  </si>
  <si>
    <t>Weighted Composite Score</t>
  </si>
  <si>
    <t>Your rank does NOT depend on the raw 400-point total. Each KRA's percentage score is weighted differently depending on your current rank (Table 2.2) - e.g., an Instructor's Instruction score counts for 60% of the composite, while a Professor's counts for only 30% (Research counts for 40% instead). This weighted score (0-100) is converted into sub-rank increments via Table 3.1 (max 6 per cycle).</t>
  </si>
  <si>
    <t>Cross-Rank Recomputation (Sec. 8.3)</t>
  </si>
  <si>
    <t>If your earned sub-rank increments would push you into the next rank category (e.g., Instructor III to Assistant Professor I), the Guidelines require recomputing your weighted score using the NEXT rank's weights. If you still qualify under the new weights, you get the new rank; otherwise, you're capped at the highest sub-rank of your current rank category. The Dashboard calculator performs this automatically.</t>
  </si>
  <si>
    <t>Automatic Doctorate Sub-Rank</t>
  </si>
  <si>
    <t>Separately from the point-based calculator, completing your FIRST doctoral degree automatically grants one sub-rank reclassification (Instructor I to Associate Professor IV only) regardless of point totals, per Section 45. The calculator does not apply this automatically - adjust manually if it applies to you.</t>
  </si>
  <si>
    <t>Verify Against Source</t>
  </si>
  <si>
    <t>Point values and rank tables were transcribed from your source document (scanned PDF pages 1-130, plus the Table 2.2/3.1/3.2 images you provided). Please verify against your official copy of the Enhanced Guidelines before any formal submission.</t>
  </si>
  <si>
    <t>FACULTY POINTS ALLOCATION &amp; MONITORING DASHBOARD</t>
  </si>
  <si>
    <t>Based on DBM-CHED Joint Circular No. 1, s. 2026 — Enhanced Implementing Guidelines of JC No. 3, s. 2022</t>
  </si>
  <si>
    <t>Faculty Name:</t>
  </si>
  <si>
    <t>Current Sub-Rank:</t>
  </si>
  <si>
    <t>Instructor I</t>
  </si>
  <si>
    <t>SUC / Campus:</t>
  </si>
  <si>
    <t>Evaluation Period:</t>
  </si>
  <si>
    <t>Key Result Area (KRA)</t>
  </si>
  <si>
    <t>Max Points</t>
  </si>
  <si>
    <t>Points Earned</t>
  </si>
  <si>
    <t>% of Max</t>
  </si>
  <si>
    <t>Status</t>
  </si>
  <si>
    <t>Remarks</t>
  </si>
  <si>
    <t>KRA I - INSTRUCTION</t>
  </si>
  <si>
    <t>KRA II - RESEARCH, INNOVATION AND/OR CREATIVE WORK</t>
  </si>
  <si>
    <t>KRA III - EXTENSION SERVICES</t>
  </si>
  <si>
    <t>KRA IV - PROFESSIONAL DEVELOPMENT</t>
  </si>
  <si>
    <t>OVERALL TOTAL (out of 400, unweighted)</t>
  </si>
  <si>
    <t>ACADEMIC RANK RECLASSIFICATION CALCULATOR  (Tables 2.2, 3.1 &amp; 3.2)</t>
  </si>
  <si>
    <t>Select your Current Sub-Rank above. This calculator applies your rank's KRA weights (Table 2.2) to your KRA scores above to compute a Weighted Composite Score (0-100), converts it to sub-rank increments (Table 3.1), and applies the cross-rank recomputation rule (Section 8.3) if the increments would cross into the next rank category. See the Rank_Tables sheet for the full reference tables.</t>
  </si>
  <si>
    <t>Current Sub-Rank Index (1-19)</t>
  </si>
  <si>
    <t>Current Rank Category</t>
  </si>
  <si>
    <t>Current Salary Grade</t>
  </si>
  <si>
    <t>Applicable Weight - Instruction</t>
  </si>
  <si>
    <t>Applicable Weight - Research, Innovation and/or Creative Work</t>
  </si>
  <si>
    <t>Applicable Weight - Extension</t>
  </si>
  <si>
    <t>Applicable Weight - Professional Development</t>
  </si>
  <si>
    <t>WEIGHTED COMPOSITE SCORE (0-100)</t>
  </si>
  <si>
    <t>Sub-rank Increment Earned (Table 3.1)</t>
  </si>
  <si>
    <t>Tentative New Sub-Rank Index</t>
  </si>
  <si>
    <t>Tentative New Rank Category</t>
  </si>
  <si>
    <t>Crosses into a New Rank Category?</t>
  </si>
  <si>
    <t>[If crossed] Re-computed Weight - Instruction</t>
  </si>
  <si>
    <t>[If crossed] Re-computed Weight - Research</t>
  </si>
  <si>
    <t>[If crossed] Re-computed Weight - Extension</t>
  </si>
  <si>
    <t>[If crossed] Re-computed Weight - Professional Development</t>
  </si>
  <si>
    <t>[If crossed] Re-computed Weighted Score</t>
  </si>
  <si>
    <t>[If crossed] Re-computed Sub-rank Increment</t>
  </si>
  <si>
    <t>[If crossed] Re-computed New Index</t>
  </si>
  <si>
    <t>[If crossed] Re-computed New Category</t>
  </si>
  <si>
    <t>Highest Sub-rank Index of CURRENT Rank Category</t>
  </si>
  <si>
    <t>FINAL AWARDED SUB-RANK INDEX</t>
  </si>
  <si>
    <t>FINAL AWARDED SUB-RANK</t>
  </si>
  <si>
    <t>Corresponding Salary Grade</t>
  </si>
  <si>
    <t>Number of Sub-ranks Gained This Cycle</t>
  </si>
  <si>
    <t>Reminder (Section 45, Enhanced Guidelines): A faculty member from Instructor I to Associate Professor IV is automatically granted ONE sub-rank reclassification upon completing their FIRST doctoral degree within the evaluation period (vertically aligned with their master's field, from an eligible HEI) - regardless of the computed score above. This does not apply to Associate Professor V or any Professor rank. This calculator does not automatically apply this rule - adjust manually if applicable.</t>
  </si>
  <si>
    <t>Notes:</t>
  </si>
  <si>
    <t>1. 'Max Points' is the base 100-point cap per KRA (KRA I-IV each = 100 pts; overall total = 400 pts, unweighted). Bonus indicators (KRA III Criterion D, KRA IV Criterion D) are already folded into each KRA's 100-point cap.</t>
  </si>
  <si>
    <t>2. Enter your actual counts in the 'Qty / Units Claimed' and 'My % Share' columns on each KRA sheet - Points Earned and totals update automatically.</t>
  </si>
  <si>
    <t>3. The Weighted Composite Score (0-100) - not the unweighted 400-point total - is what determines sub-rank increments, per Table 2.2 and Table 3.1.</t>
  </si>
  <si>
    <t>4. Maximum of 6 sub-ranks may be awarded per evaluation cycle (Table 3.1).</t>
  </si>
  <si>
    <t>5. Status: 'Target Met' = 100%+, 'On Track' = 75-99%, 'Needs Attention' = 50-74%, 'At Risk' = below 50%.</t>
  </si>
  <si>
    <t>6. Final reclassification decisions rest with the IEC/REC/EAC/CC committees per the Enhanced Guidelines - this calculator is a planning aid, not an official determination.</t>
  </si>
  <si>
    <t>ACADEMIC RANK REFERENCE TABLES</t>
  </si>
  <si>
    <t>Source: Tables 2.2, 3.1, and 3.2 of the DBM-CHED Joint Circular / Enhanced Implementing Guidelines</t>
  </si>
  <si>
    <t>Table 2.2 - KRA Weights per Faculty Rank</t>
  </si>
  <si>
    <t>Rank Category</t>
  </si>
  <si>
    <t>Applicable
Sub-ranks</t>
  </si>
  <si>
    <t>Instruction</t>
  </si>
  <si>
    <t>Research, Innovation
and/or Creative Work</t>
  </si>
  <si>
    <t>Extension</t>
  </si>
  <si>
    <t>Professional
Development</t>
  </si>
  <si>
    <t>Instructor</t>
  </si>
  <si>
    <t>I - III</t>
  </si>
  <si>
    <t>Assistant Professor</t>
  </si>
  <si>
    <t>I - IV</t>
  </si>
  <si>
    <t>Associate Professor</t>
  </si>
  <si>
    <t>I - V</t>
  </si>
  <si>
    <t>Professor</t>
  </si>
  <si>
    <t>I - VI</t>
  </si>
  <si>
    <t>College/University Professor</t>
  </si>
  <si>
    <t>(single rank)</t>
  </si>
  <si>
    <t>Table 3.1 - Score Bracket and Corresponding Number of Sub-rank Increment</t>
  </si>
  <si>
    <t>Min Score</t>
  </si>
  <si>
    <t>Max Score</t>
  </si>
  <si>
    <t>No. of Sub-rank Increment</t>
  </si>
  <si>
    <t>Table 3.2 - Faculty Positions in SUCs</t>
  </si>
  <si>
    <t>#</t>
  </si>
  <si>
    <t>Sub-rank</t>
  </si>
  <si>
    <t>Salary Grade</t>
  </si>
  <si>
    <t>SG-12</t>
  </si>
  <si>
    <t>Instructor II</t>
  </si>
  <si>
    <t>SG-13</t>
  </si>
  <si>
    <t>Instructor III</t>
  </si>
  <si>
    <t>SG-14</t>
  </si>
  <si>
    <t>Assistant Professor I</t>
  </si>
  <si>
    <t>SG-15</t>
  </si>
  <si>
    <t>Assistant Professor II</t>
  </si>
  <si>
    <t>SG-16</t>
  </si>
  <si>
    <t>Assistant Professor III</t>
  </si>
  <si>
    <t>SG-17</t>
  </si>
  <si>
    <t>Assistant Professor IV</t>
  </si>
  <si>
    <t>SG-18</t>
  </si>
  <si>
    <t>Associate Professor I</t>
  </si>
  <si>
    <t>SG-19</t>
  </si>
  <si>
    <t>Associate Professor II</t>
  </si>
  <si>
    <t>SG-20</t>
  </si>
  <si>
    <t>Associate Professor III</t>
  </si>
  <si>
    <t>SG-21</t>
  </si>
  <si>
    <t>Associate Professor IV</t>
  </si>
  <si>
    <t>SG-22</t>
  </si>
  <si>
    <t>Associate Professor V</t>
  </si>
  <si>
    <t>SG-23</t>
  </si>
  <si>
    <t>Professor I</t>
  </si>
  <si>
    <t>SG-24</t>
  </si>
  <si>
    <t>Professor II</t>
  </si>
  <si>
    <t>SG-25</t>
  </si>
  <si>
    <t>Professor III</t>
  </si>
  <si>
    <t>SG-26</t>
  </si>
  <si>
    <t>Professor IV</t>
  </si>
  <si>
    <t>SG-27</t>
  </si>
  <si>
    <t>Professor V</t>
  </si>
  <si>
    <t>SG-28</t>
  </si>
  <si>
    <t>Professor VI</t>
  </si>
  <si>
    <t>SG-29</t>
  </si>
  <si>
    <t>SG-30</t>
  </si>
  <si>
    <t>Helper - Rank Category Index Range (for cross-rank logic)</t>
  </si>
  <si>
    <t>Min Index (#)</t>
  </si>
  <si>
    <t>Max Index (#)</t>
  </si>
  <si>
    <t>1. Table 2.2 weights are applied to each KRA's percentage score (Points Earned / 100) to compute a single Weighted Composite Score out of 100.</t>
  </si>
  <si>
    <t>2. Table 3.1 converts the Weighted Composite Score into the number of sub-rank increments earned (maximum of 6 sub-ranks per evaluation cycle).</t>
  </si>
  <si>
    <t>3. Per Section 8.3 of the Guidelines: if the awarded sub-rank increments would cross into the next rank category (e.g., Instructor II to Assistant Professor III), the computation is redone using the NEXT rank's weights. If the faculty still qualifies under the recomputed weights, the new rank is awarded; otherwise, the faculty is awarded the highest sub-rank of their CURRENT rank category.</t>
  </si>
  <si>
    <t>4. See the Dashboard sheet for the live calculator using your actual KRA scores.</t>
  </si>
  <si>
    <t>KRA I - INSTRUCTION  (KRA Maximum: 100 points)</t>
  </si>
  <si>
    <t>For items with multiple authors/co-inventors/co-creators, set 'My % Share' to your certified percentage contribution (Annex C-I Certificate of Contribution). Defaults to 100% (sole credit).</t>
  </si>
  <si>
    <t>No.</t>
  </si>
  <si>
    <t>Criterion / Category</t>
  </si>
  <si>
    <t>Item / Criteria</t>
  </si>
  <si>
    <t>Points per Unit</t>
  </si>
  <si>
    <t>Unit</t>
  </si>
  <si>
    <t>Item/Sub-Cap Max</t>
  </si>
  <si>
    <t>Qty / Units
Claimed</t>
  </si>
  <si>
    <t>My % Share
(Co-Authorship)</t>
  </si>
  <si>
    <t>Evidence Status</t>
  </si>
  <si>
    <t>Remarks / Evidence Notes</t>
  </si>
  <si>
    <t>Criterion A - Teaching Effectiveness</t>
  </si>
  <si>
    <t>Student Evaluation of Teachers (SET) - rating-based score</t>
  </si>
  <si>
    <t>score (max 36)</t>
  </si>
  <si>
    <t>Not Started</t>
  </si>
  <si>
    <t>Supervisor's Evaluation of Faculty (SEF) - rating-based score</t>
  </si>
  <si>
    <t>score (max 24)</t>
  </si>
  <si>
    <t>Note: For faculty with special status (official study leave, maternity leave, sabbatical leave, newly appointed, teaching in SUC laboratory schools), see Section 10 of the Enhanced Guidelines for applicable conditions/adjustments.</t>
  </si>
  <si>
    <t>Criterion B - Instructional Materials Development</t>
  </si>
  <si>
    <t>Sole Author of a Textbook (per textbook)</t>
  </si>
  <si>
    <t>per item</t>
  </si>
  <si>
    <t>Sole Author of a Module (per module)</t>
  </si>
  <si>
    <t>Sole Author of an Instructional Manual (per manual)</t>
  </si>
  <si>
    <t>Sole Author of Multimedia Teaching Materials (per material)</t>
  </si>
  <si>
    <t>Academic Program Developed/Revised &amp; Implemented - Lead</t>
  </si>
  <si>
    <t>per program</t>
  </si>
  <si>
    <t>Academic Program Developed/Revised &amp; Implemented - Contributor</t>
  </si>
  <si>
    <t>Note: For co-authored works, points are shared per Annex C - Certificate of Contribution Form_IM (Section 12/13).</t>
  </si>
  <si>
    <t>Criterion C - Research Advising and Mentorship Services</t>
  </si>
  <si>
    <t>Adviser - Special/Capstone Project (SP/CP)</t>
  </si>
  <si>
    <t>per student/group</t>
  </si>
  <si>
    <t>Adviser - Undergraduate Thesis (UT)</t>
  </si>
  <si>
    <t>Adviser - Master's Thesis (MT)</t>
  </si>
  <si>
    <t>Adviser - Doctoral Dissertation (DD)</t>
  </si>
  <si>
    <t>Panel Member - Special/Capstone Project (SP/CP)</t>
  </si>
  <si>
    <t>Panel Member - Undergraduate Thesis (UT)</t>
  </si>
  <si>
    <t>Panel Member - Master's Thesis (MT)</t>
  </si>
  <si>
    <t>Panel Member - Doctoral Dissertation (DD)</t>
  </si>
  <si>
    <t>Mentorship Services (coach/mentor to student or group)</t>
  </si>
  <si>
    <t>Note: See Section 15 of the Enhanced Guidelines for applicable conditions.</t>
  </si>
  <si>
    <t>KRA II - RESEARCH, INNOVATION AND/OR CREATIVE WORK  (KRA Maximum: 100 points)</t>
  </si>
  <si>
    <t>Criterion A - Research Outputs Published</t>
  </si>
  <si>
    <t>Sole Author of an Academic Book</t>
  </si>
  <si>
    <t>per book</t>
  </si>
  <si>
    <t>Sole Author of Edited Academic Book Chapter</t>
  </si>
  <si>
    <t>per chapter</t>
  </si>
  <si>
    <t>Sole Author of a Journal Article (indexed in Scopus/WoS/ACI)</t>
  </si>
  <si>
    <t>per article</t>
  </si>
  <si>
    <t>Sole Author of an Academic Monograph</t>
  </si>
  <si>
    <t>per monograph</t>
  </si>
  <si>
    <t>Research Output Translated into Project, Policy, or Product</t>
  </si>
  <si>
    <t>per output (max 70)</t>
  </si>
  <si>
    <t>Research Publication Cited by another indexed publication</t>
  </si>
  <si>
    <t>per citation (max 60)</t>
  </si>
  <si>
    <t>Note: See Sections 18-21 of the Enhanced Guidelines. Journal article points reflect base rate; verify tiering in Section 19. Co-authorship uses Annex D - Certificate of Contribution Form_Research Output.</t>
  </si>
  <si>
    <t>Criterion B - Inventions</t>
  </si>
  <si>
    <t>Invention Patent - Acceptance Stage</t>
  </si>
  <si>
    <t>per invention</t>
  </si>
  <si>
    <t>Invention Patent - Publication Stage</t>
  </si>
  <si>
    <t>Invention Patent - Grant Stage</t>
  </si>
  <si>
    <t>Commercialized Patented Product - Local</t>
  </si>
  <si>
    <t>per product (max 20)</t>
  </si>
  <si>
    <t>Commercialized Patented Product - International</t>
  </si>
  <si>
    <t>per product (max 30)</t>
  </si>
  <si>
    <t>Utility Model (registered)</t>
  </si>
  <si>
    <t>Industrial Design (registered)</t>
  </si>
  <si>
    <t>Copyrighted &amp; Utilized Software Product - New</t>
  </si>
  <si>
    <t>per product</t>
  </si>
  <si>
    <t>Copyrighted &amp; Utilized Software Product - Updated</t>
  </si>
  <si>
    <t>New Plant Variety / Animal Breed / Microbial Strain Developed</t>
  </si>
  <si>
    <t>Note: See Sections 23-24 of the Enhanced Guidelines. Co-inventorship uses Annex F/G/H Certificate of Contribution forms.</t>
  </si>
  <si>
    <t>Criterion C - Creative Works</t>
  </si>
  <si>
    <t>Musical Composition (orchestra/band/chamber/ensemble/choral)</t>
  </si>
  <si>
    <t>per work</t>
  </si>
  <si>
    <t>Musical Arrangement</t>
  </si>
  <si>
    <t>Musical Performance (vocal or instrumental)</t>
  </si>
  <si>
    <t>per performance</t>
  </si>
  <si>
    <t>Conducting</t>
  </si>
  <si>
    <t>Music Production (original work produced)</t>
  </si>
  <si>
    <t>Original Choreography (Dance)</t>
  </si>
  <si>
    <t>Dance Performance</t>
  </si>
  <si>
    <t>Playwright (Theatre)</t>
  </si>
  <si>
    <t>Directing (Theatre)</t>
  </si>
  <si>
    <t>per production</t>
  </si>
  <si>
    <t>Acting (Theatre)</t>
  </si>
  <si>
    <t>Production Design (Theatre)</t>
  </si>
  <si>
    <t>Visual Arts - Painting/Drawing/Mixed Media/Sculpture/Photography/Digital Art</t>
  </si>
  <si>
    <t>per exhibited work</t>
  </si>
  <si>
    <t>Architectural / Engineering / Interior Design (exhibited or juried)</t>
  </si>
  <si>
    <t>Film - Short/Feature/Documentary/Experimental/Animated</t>
  </si>
  <si>
    <t>per film</t>
  </si>
  <si>
    <t>Literary Publication - Novel</t>
  </si>
  <si>
    <t>per novel</t>
  </si>
  <si>
    <t>Literary Publication - Short Story</t>
  </si>
  <si>
    <t>per story</t>
  </si>
  <si>
    <t>Literary Publication - Poetry</t>
  </si>
  <si>
    <t>per poem</t>
  </si>
  <si>
    <t>Literary Publication - Literary Essay</t>
  </si>
  <si>
    <t>per essay</t>
  </si>
  <si>
    <t>Note: See Section 26-27 of the Enhanced Guidelines. Co-authorship/co-creators use Annex I - Certificate of Contribution Form_Creative Works.</t>
  </si>
  <si>
    <t>KRA III - EXTENSION SERVICES  (KRA Maximum: 100 points)</t>
  </si>
  <si>
    <t>Criterion A - Service to the Institution</t>
  </si>
  <si>
    <t>Successful Linkage/Networking/Partnership Activity</t>
  </si>
  <si>
    <t>per activity</t>
  </si>
  <si>
    <t>Income Generation (Lead) - Php 100,000 and below</t>
  </si>
  <si>
    <t>per project</t>
  </si>
  <si>
    <t>Income Generation (Lead) - Php 100,001 to 500,000</t>
  </si>
  <si>
    <t>Income Generation (Lead) - Php 500,001 to 6,000,000</t>
  </si>
  <si>
    <t>Income Generation (Lead) - Php 6,000,001 to 12,000,000</t>
  </si>
  <si>
    <t>Income Generation (Lead) - Above Php 12,000,000</t>
  </si>
  <si>
    <t>Income Generation (Contributor) - Php 100,000 and below</t>
  </si>
  <si>
    <t>Income Generation (Contributor) - Php 100,001 to 500,000</t>
  </si>
  <si>
    <t>Income Generation (Contributor) - Php 500,001 to 6,000,000</t>
  </si>
  <si>
    <t>Income Generation (Contributor) - Php 6,000,001 to 12,000,000</t>
  </si>
  <si>
    <t>Income Generation (Contributor) - Above Php 12,000,000</t>
  </si>
  <si>
    <t>Note: See Sections 29-31 of the Enhanced Guidelines. Income sources: commercialization, grants from external funding agencies, industry-based projects.</t>
  </si>
  <si>
    <t>Criterion B - Service to the Community</t>
  </si>
  <si>
    <t>Accreditation/Evaluation/Assessment/QA Activities - Local</t>
  </si>
  <si>
    <t>per engagement</t>
  </si>
  <si>
    <t>Accreditation/Evaluation/Assessment/QA Activities - International</t>
  </si>
  <si>
    <t>Judge/Examiner - Research Awards</t>
  </si>
  <si>
    <t>Judge/Examiner - Academic Competitions</t>
  </si>
  <si>
    <t>Short-term Consultant/Expert - Local</t>
  </si>
  <si>
    <t>Short-term Consultant/Expert - International</t>
  </si>
  <si>
    <t>Writer of Occasional Newspaper Column</t>
  </si>
  <si>
    <t>per article (max 10)</t>
  </si>
  <si>
    <t>Writer of Regular Newspaper Column</t>
  </si>
  <si>
    <t>Host of TV/Radio Program</t>
  </si>
  <si>
    <t>Guesting as Technical Expert (TV/radio/print/online media)</t>
  </si>
  <si>
    <t>per engagement (max 10)</t>
  </si>
  <si>
    <t>Resource Person/Facilitator/Moderator/Plenary Speaker/Panelist - Local (per hour)</t>
  </si>
  <si>
    <t>per hour</t>
  </si>
  <si>
    <t>Resource Person/Facilitator/Moderator/Plenary Speaker/Panelist - International (per hour)</t>
  </si>
  <si>
    <t>Institutional Social Responsibility - Extension Project (Lead/Head)</t>
  </si>
  <si>
    <t>per activity (max 30)</t>
  </si>
  <si>
    <t>Institutional Social Responsibility - Extension Project (Participant)</t>
  </si>
  <si>
    <t>Note: See Sections 33-34 of the Enhanced Guidelines.</t>
  </si>
  <si>
    <t>Criterion C - Relevance and Quality of Extension Services</t>
  </si>
  <si>
    <t>Client Satisfaction Rating for Extension Projects</t>
  </si>
  <si>
    <t>rating-based score</t>
  </si>
  <si>
    <t>Note: See Section 35 of the Enhanced Guidelines. The extension project must also be declared under Institutional Social Responsibility (Criterion B) to be credited here.</t>
  </si>
  <si>
    <t>Criterion D - Bonus Criterion (Administrative Designations)</t>
  </si>
  <si>
    <t>Administrative Designation - President or OIC President</t>
  </si>
  <si>
    <t>per year in role</t>
  </si>
  <si>
    <t>Administrative Designation - Vice-President</t>
  </si>
  <si>
    <t>Administrative Designation - Chancellor</t>
  </si>
  <si>
    <t>Administrative Designation - Vice-Chancellor</t>
  </si>
  <si>
    <t>Administrative Designation - Campus Director/Administrator</t>
  </si>
  <si>
    <t>Administrative Designation - Faculty Trustee/Regent</t>
  </si>
  <si>
    <t>Administrative Designation - Office Director</t>
  </si>
  <si>
    <t>Administrative Designation - University/College Secretary</t>
  </si>
  <si>
    <t>Administrative Designation - Project Head (Institutional)</t>
  </si>
  <si>
    <t>Administrative Designation - Institution-level Committee Chair</t>
  </si>
  <si>
    <t>Administrative Designation - Institution-level Committee Member</t>
  </si>
  <si>
    <t>Administrative Designation - Institution-level Coordinator</t>
  </si>
  <si>
    <t>Administrative Designation - Dean (College/Department level)</t>
  </si>
  <si>
    <t>Administrative Designation - Associate Dean</t>
  </si>
  <si>
    <t>Administrative Designation - College Secretary</t>
  </si>
  <si>
    <t>Administrative Designation - Department Head</t>
  </si>
  <si>
    <t>Administrative Designation - Program Chair/Project Head (Dept level)</t>
  </si>
  <si>
    <t>Administrative Designation - Department-level Committee Chair</t>
  </si>
  <si>
    <t>Administrative Designation - Department-level Committee Member</t>
  </si>
  <si>
    <t>Administrative Designation - Department-level Coordinator</t>
  </si>
  <si>
    <t>Note: See Section 36 of the Enhanced Guidelines. This is a BONUS indicator (not all faculty hold administrative designations) - points are credited per year served (minimum 1 continuous year), and are added to Criteria A+B+C, but the KRA III total still cannot exceed 100 points.</t>
  </si>
  <si>
    <t>KRA IV - PROFESSIONAL DEVELOPMENT  (KRA Maximum: 100 points)</t>
  </si>
  <si>
    <t>Criterion A - Involvement in Professional Organizations</t>
  </si>
  <si>
    <t>Membership &amp; Participation in Registered Professional Organizations/Societies</t>
  </si>
  <si>
    <t>per organization</t>
  </si>
  <si>
    <t>Note: See Section 38 of the Enhanced Guidelines.</t>
  </si>
  <si>
    <t>Criterion B - Continuing Development</t>
  </si>
  <si>
    <t>Post-Master's Diploma or Certificate</t>
  </si>
  <si>
    <t>per credential</t>
  </si>
  <si>
    <t>Post-Doctorate Diploma or Certificate</t>
  </si>
  <si>
    <t>Additional Master's Degree</t>
  </si>
  <si>
    <t>per degree</t>
  </si>
  <si>
    <t>Doctorate Degree or Additional Doctorate Degree</t>
  </si>
  <si>
    <t>Attendance in Conferences/Seminars/Workshops/Industry Immersion - Local</t>
  </si>
  <si>
    <t>per activity (max 10)</t>
  </si>
  <si>
    <t>Attendance in Conferences/Seminars/Workshops/Industry Immersion - International</t>
  </si>
  <si>
    <t>Paper Presentation in Conferences - Local</t>
  </si>
  <si>
    <t>per presentation (max 10)</t>
  </si>
  <si>
    <t>Paper Presentation in Conferences - International</t>
  </si>
  <si>
    <t>Note: See Sections 39-42 of the Enhanced Guidelines.</t>
  </si>
  <si>
    <t>Criterion C - Awards and Recognition</t>
  </si>
  <si>
    <t>Award of Distinction - Institutional</t>
  </si>
  <si>
    <t>per award</t>
  </si>
  <si>
    <t>Award of Distinction - Local and Regional (City/Municipality/Province)</t>
  </si>
  <si>
    <t>Award of Distinction - National</t>
  </si>
  <si>
    <t>Note: See Section 43 of the Enhanced Guidelines.</t>
  </si>
  <si>
    <t>Criterion D - Additional Points for Newly Appointed/Hired Faculty</t>
  </si>
  <si>
    <t>Prior Academic Experience (before SUC appointment) - as President</t>
  </si>
  <si>
    <t>per year</t>
  </si>
  <si>
    <t>Prior Academic Experience (before SUC appointment) - as VP/Dean/Director</t>
  </si>
  <si>
    <t>Prior Academic Experience (before SUC appointment) - as Department/Program Head</t>
  </si>
  <si>
    <t>Prior Academic Experience (before SUC appointment) - as Faculty Member</t>
  </si>
  <si>
    <t>Prior Industry Experience (non-academic, before SUC appointment) - Managerial/Supervisory</t>
  </si>
  <si>
    <t>Prior Industry Experience (non-academic, before SUC appointment) - Technical and Skilled</t>
  </si>
  <si>
    <t>Prior Industry Experience (non-academic, before SUC appointment) - Support/Administrative Staff</t>
  </si>
  <si>
    <t>Note: See Section 44 of the Enhanced Guidelines. Applies to newly appointed/hired faculty previously employed in private HEIs, industry, or an SUC under contract of service, teaching full-time, prior to their SUC appointment.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</si>
</sst>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5" x14ac:knownFonts="1">
    <font>
      <sz val="11"/>
      <color theme="1"/>
      <name val="Calibri"/>
      <family val="2"/>
      <charset val="1"/>
    </font>
    <font>
      <b/>
      <sz val="18"/>
      <color rgb="FFFFFFFF"/>
      <name val="Arial"/>
      <charset val="1"/>
    </font>
    <font>
      <i/>
      <sz val="10.5"/>
      <color rgb="FF595959"/>
      <name val="Arial"/>
      <charset val="1"/>
    </font>
    <font>
      <b/>
      <sz val="12.5"/>
      <color rgb="FFFFFFFF"/>
      <name val="Arial"/>
      <charset val="1"/>
    </font>
    <font>
      <b/>
      <sz val="10"/>
      <name val="Arial"/>
      <charset val="1"/>
    </font>
    <font>
      <sz val="10"/>
      <name val="Arial"/>
      <charset val="1"/>
    </font>
    <font>
      <b/>
      <sz val="16"/>
      <color rgb="FFFFFFFF"/>
      <name val="Arial"/>
      <charset val="1"/>
    </font>
    <font>
      <i/>
      <sz val="10"/>
      <color rgb="FF595959"/>
      <name val="Arial"/>
      <charset val="1"/>
    </font>
    <font>
      <sz val="11"/>
      <color rgb="FF0000FF"/>
      <name val="Arial"/>
      <charset val="1"/>
    </font>
    <font>
      <b/>
      <sz val="10"/>
      <color rgb="FFFFFFFF"/>
      <name val="Arial"/>
      <charset val="1"/>
    </font>
    <font>
      <b/>
      <sz val="11"/>
      <color rgb="FFFFFFFF"/>
      <name val="Arial"/>
      <charset val="1"/>
    </font>
    <font>
      <b/>
      <sz val="12"/>
      <color rgb="FFFFFFFF"/>
      <name val="Arial"/>
      <charset val="1"/>
    </font>
    <font>
      <i/>
      <sz val="8.5"/>
      <color rgb="FF595959"/>
      <name val="Arial"/>
      <charset val="1"/>
    </font>
    <font>
      <sz val="10"/>
      <color rgb="FF000000"/>
      <name val="Arial"/>
      <charset val="1"/>
    </font>
    <font>
      <b/>
      <sz val="10"/>
      <color rgb="FF000000"/>
      <name val="Arial"/>
      <charset val="1"/>
    </font>
    <font>
      <b/>
      <sz val="9"/>
      <color rgb="FF595959"/>
      <name val="Arial"/>
      <charset val="1"/>
    </font>
    <font>
      <i/>
      <sz val="9"/>
      <color rgb="FF595959"/>
      <name val="Arial"/>
      <charset val="1"/>
    </font>
    <font>
      <b/>
      <sz val="15"/>
      <color rgb="FFFFFFFF"/>
      <name val="Arial"/>
      <charset val="1"/>
    </font>
    <font>
      <i/>
      <sz val="9.5"/>
      <color rgb="FF595959"/>
      <name val="Arial"/>
      <charset val="1"/>
    </font>
    <font>
      <i/>
      <sz val="9.5"/>
      <name val="Arial"/>
      <charset val="1"/>
    </font>
    <font>
      <b/>
      <sz val="13"/>
      <color rgb="FFFFFFFF"/>
      <name val="Arial"/>
      <charset val="1"/>
    </font>
    <font>
      <b/>
      <sz val="10.5"/>
      <name val="Arial"/>
      <charset val="1"/>
    </font>
    <font>
      <b/>
      <sz val="11"/>
      <name val="Arial"/>
      <charset val="1"/>
    </font>
    <font>
      <b/>
      <sz val="10"/>
      <color rgb="FF0000FF"/>
      <name val="Arial"/>
      <charset val="1"/>
    </font>
    <font>
      <i/>
      <sz val="8.5"/>
      <color rgb="FF666666"/>
      <name val="Arial"/>
      <charset val="1"/>
    </font>
  </fonts>
  <fills count="9">
    <fill>
      <patternFill patternType="none"/>
    </fill>
    <fill>
      <patternFill patternType="gray125"/>
    </fill>
    <fill>
      <patternFill patternType="solid">
        <fgColor rgb="FF1F3864"/>
        <bgColor rgb="FF2E5395"/>
      </patternFill>
    </fill>
    <fill>
      <patternFill patternType="solid">
        <fgColor rgb="FF2E5395"/>
        <bgColor rgb="FF1F3864"/>
      </patternFill>
    </fill>
    <fill>
      <patternFill patternType="solid">
        <fgColor rgb="FFFFFDE7"/>
        <bgColor rgb="FFFFFFFF"/>
      </patternFill>
    </fill>
    <fill>
      <patternFill patternType="solid">
        <fgColor rgb="FF548235"/>
        <bgColor rgb="FF666666"/>
      </patternFill>
    </fill>
    <fill>
      <patternFill patternType="solid">
        <fgColor rgb="FFB4C6E7"/>
        <bgColor rgb="FF99CCFF"/>
      </patternFill>
    </fill>
    <fill>
      <patternFill patternType="solid">
        <fgColor rgb="FFF2F2F2"/>
        <bgColor rgb="FFFFFDE7"/>
      </patternFill>
    </fill>
    <fill>
      <patternFill patternType="solid">
        <fgColor rgb="FFD9E1F2"/>
        <bgColor rgb="FFD9D9D9"/>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59">
    <xf numFmtId="0" fontId="0" fillId="0" borderId="0" xfId="0"/>
    <xf numFmtId="0" fontId="4" fillId="0" borderId="0" xfId="0" applyFont="1" applyAlignment="1">
      <alignment vertical="top" wrapText="1"/>
    </xf>
    <xf numFmtId="0" fontId="5" fillId="0" borderId="0" xfId="0" applyFont="1" applyAlignment="1">
      <alignment vertical="top" wrapText="1"/>
    </xf>
    <xf numFmtId="0" fontId="4" fillId="0" borderId="0" xfId="0" applyFont="1"/>
    <xf numFmtId="0" fontId="9" fillId="3" borderId="1" xfId="0" applyFont="1" applyFill="1" applyBorder="1" applyAlignment="1">
      <alignment horizontal="center" vertical="center" wrapText="1"/>
    </xf>
    <xf numFmtId="0" fontId="5" fillId="0" borderId="1" xfId="0" applyFont="1" applyBorder="1"/>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xf numFmtId="0" fontId="10" fillId="2" borderId="1" xfId="0" applyFont="1" applyFill="1" applyBorder="1"/>
    <xf numFmtId="164" fontId="10" fillId="2" borderId="1" xfId="0" applyNumberFormat="1" applyFont="1" applyFill="1" applyBorder="1"/>
    <xf numFmtId="165" fontId="10" fillId="2" borderId="1" xfId="0" applyNumberFormat="1" applyFont="1" applyFill="1" applyBorder="1"/>
    <xf numFmtId="0" fontId="19" fillId="0" borderId="1" xfId="0" applyFont="1" applyBorder="1" applyAlignment="1">
      <alignment horizontal="center"/>
    </xf>
    <xf numFmtId="9" fontId="0" fillId="0" borderId="1" xfId="0" applyNumberFormat="1" applyBorder="1" applyAlignment="1">
      <alignment horizontal="center"/>
    </xf>
    <xf numFmtId="0" fontId="5" fillId="0" borderId="1" xfId="0" applyFont="1" applyBorder="1" applyAlignment="1">
      <alignment horizontal="center"/>
    </xf>
    <xf numFmtId="0" fontId="0" fillId="6" borderId="1" xfId="0" applyFill="1" applyBorder="1"/>
    <xf numFmtId="0" fontId="22" fillId="6" borderId="1" xfId="0" applyFont="1" applyFill="1" applyBorder="1" applyAlignment="1">
      <alignment horizontal="center"/>
    </xf>
    <xf numFmtId="0" fontId="5" fillId="0" borderId="1" xfId="0" applyFont="1" applyBorder="1" applyAlignment="1">
      <alignment vertical="center"/>
    </xf>
    <xf numFmtId="0" fontId="5" fillId="0" borderId="1" xfId="0" applyFont="1" applyBorder="1" applyAlignment="1">
      <alignment vertical="center" wrapText="1"/>
    </xf>
    <xf numFmtId="0" fontId="23" fillId="4" borderId="1" xfId="0" applyFont="1" applyFill="1" applyBorder="1" applyAlignment="1">
      <alignment horizontal="center"/>
    </xf>
    <xf numFmtId="9" fontId="23" fillId="4" borderId="1" xfId="0" applyNumberFormat="1" applyFont="1" applyFill="1" applyBorder="1" applyAlignment="1">
      <alignment horizontal="center"/>
    </xf>
    <xf numFmtId="164" fontId="5" fillId="0" borderId="1" xfId="0" applyNumberFormat="1" applyFont="1" applyBorder="1" applyAlignment="1">
      <alignment vertical="center"/>
    </xf>
    <xf numFmtId="0" fontId="0" fillId="7" borderId="1" xfId="0" applyFill="1" applyBorder="1"/>
    <xf numFmtId="164" fontId="19" fillId="7" borderId="1" xfId="0" applyNumberFormat="1" applyFont="1" applyFill="1" applyBorder="1"/>
    <xf numFmtId="0" fontId="0" fillId="8" borderId="1" xfId="0" applyFill="1" applyBorder="1"/>
    <xf numFmtId="164" fontId="4" fillId="8" borderId="1" xfId="0" applyNumberFormat="1" applyFont="1" applyFill="1" applyBorder="1"/>
    <xf numFmtId="164" fontId="22" fillId="7" borderId="1" xfId="0" applyNumberFormat="1" applyFont="1" applyFill="1" applyBorder="1"/>
    <xf numFmtId="0" fontId="0" fillId="2" borderId="1" xfId="0" applyFill="1" applyBorder="1"/>
    <xf numFmtId="164" fontId="11" fillId="2" borderId="1" xfId="0" applyNumberFormat="1" applyFont="1" applyFill="1" applyBorder="1"/>
    <xf numFmtId="0" fontId="1" fillId="2" borderId="0" xfId="0" applyFont="1" applyFill="1" applyAlignment="1">
      <alignment horizontal="center" vertical="center"/>
    </xf>
    <xf numFmtId="0" fontId="2" fillId="0" borderId="0" xfId="0" applyFont="1" applyAlignment="1">
      <alignment horizontal="center" wrapText="1"/>
    </xf>
    <xf numFmtId="0" fontId="3" fillId="3" borderId="0" xfId="0" applyFont="1" applyFill="1" applyAlignment="1">
      <alignment horizontal="left" vertical="center" indent="1"/>
    </xf>
    <xf numFmtId="0" fontId="16" fillId="0" borderId="0" xfId="0" applyFont="1" applyAlignment="1">
      <alignment wrapText="1"/>
    </xf>
    <xf numFmtId="0" fontId="12" fillId="0" borderId="0" xfId="0" applyFont="1" applyAlignment="1">
      <alignment vertical="center" wrapText="1"/>
    </xf>
    <xf numFmtId="0" fontId="15" fillId="0" borderId="0" xfId="0" applyFont="1" applyAlignment="1">
      <alignment wrapText="1"/>
    </xf>
    <xf numFmtId="0" fontId="9" fillId="5" borderId="1" xfId="0" applyFont="1" applyFill="1" applyBorder="1"/>
    <xf numFmtId="0" fontId="9" fillId="5" borderId="1" xfId="0" applyFont="1" applyFill="1" applyBorder="1" applyAlignment="1">
      <alignment horizontal="center"/>
    </xf>
    <xf numFmtId="0" fontId="4" fillId="0" borderId="1" xfId="0" applyFont="1" applyBorder="1"/>
    <xf numFmtId="0" fontId="14" fillId="0" borderId="1" xfId="0" applyFont="1" applyBorder="1" applyAlignment="1">
      <alignment horizontal="center"/>
    </xf>
    <xf numFmtId="0" fontId="5" fillId="0" borderId="1" xfId="0" applyFont="1" applyBorder="1"/>
    <xf numFmtId="0" fontId="13" fillId="0" borderId="1" xfId="0" applyFont="1" applyBorder="1" applyAlignment="1">
      <alignment horizontal="center"/>
    </xf>
    <xf numFmtId="164" fontId="13" fillId="0" borderId="1" xfId="0" applyNumberFormat="1" applyFont="1" applyBorder="1" applyAlignment="1">
      <alignment horizontal="center"/>
    </xf>
    <xf numFmtId="9" fontId="13" fillId="0" borderId="1" xfId="0" applyNumberFormat="1" applyFont="1" applyBorder="1" applyAlignment="1">
      <alignment horizontal="center"/>
    </xf>
    <xf numFmtId="164" fontId="14" fillId="0" borderId="1" xfId="0" applyNumberFormat="1" applyFont="1" applyBorder="1" applyAlignment="1">
      <alignment horizontal="center"/>
    </xf>
    <xf numFmtId="0" fontId="8" fillId="4" borderId="1" xfId="0" applyFont="1" applyFill="1" applyBorder="1"/>
    <xf numFmtId="0" fontId="11" fillId="3" borderId="0" xfId="0" applyFont="1" applyFill="1" applyAlignment="1">
      <alignment horizontal="left" vertical="center" indent="1"/>
    </xf>
    <xf numFmtId="0" fontId="6" fillId="2" borderId="0" xfId="0" applyFont="1" applyFill="1" applyAlignment="1">
      <alignment horizontal="center" vertical="center"/>
    </xf>
    <xf numFmtId="0" fontId="7" fillId="0" borderId="0" xfId="0" applyFont="1" applyAlignment="1">
      <alignment horizontal="center"/>
    </xf>
    <xf numFmtId="0" fontId="11" fillId="2" borderId="0" xfId="0" applyFont="1" applyFill="1" applyAlignment="1">
      <alignment horizontal="left" vertical="center" indent="1"/>
    </xf>
    <xf numFmtId="0" fontId="17" fillId="2" borderId="0" xfId="0" applyFont="1" applyFill="1" applyAlignment="1">
      <alignment horizontal="center" vertical="center"/>
    </xf>
    <xf numFmtId="0" fontId="18" fillId="0" borderId="0" xfId="0" applyFont="1" applyAlignment="1">
      <alignment horizontal="center"/>
    </xf>
    <xf numFmtId="0" fontId="0" fillId="2" borderId="1" xfId="0" applyFill="1" applyBorder="1"/>
    <xf numFmtId="0" fontId="21" fillId="6" borderId="1" xfId="0" applyFont="1" applyFill="1" applyBorder="1"/>
    <xf numFmtId="0" fontId="0" fillId="7" borderId="1" xfId="0" applyFill="1" applyBorder="1"/>
    <xf numFmtId="0" fontId="0" fillId="8" borderId="1" xfId="0" applyFill="1" applyBorder="1"/>
    <xf numFmtId="0" fontId="24" fillId="0" borderId="0" xfId="0" applyFont="1" applyAlignment="1">
      <alignment vertical="center" wrapText="1"/>
    </xf>
    <xf numFmtId="0" fontId="20" fillId="2" borderId="0" xfId="0" applyFont="1" applyFill="1" applyAlignment="1">
      <alignment horizontal="center" vertical="center" wrapText="1"/>
    </xf>
    <xf numFmtId="0" fontId="12" fillId="0" borderId="0" xfId="0" applyFont="1" applyAlignment="1">
      <alignment horizontal="lef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7B7B7"/>
      <rgbColor rgb="FF878787"/>
      <rgbColor rgb="FF9999FF"/>
      <rgbColor rgb="FFC0504D"/>
      <rgbColor rgb="FFFFFDE7"/>
      <rgbColor rgb="FFF2F2F2"/>
      <rgbColor rgb="FF660066"/>
      <rgbColor rgb="FFFF8080"/>
      <rgbColor rgb="FF0066CC"/>
      <rgbColor rgb="FFB4C6E7"/>
      <rgbColor rgb="FF000080"/>
      <rgbColor rgb="FFFF00FF"/>
      <rgbColor rgb="FFFFFF00"/>
      <rgbColor rgb="FF00FFFF"/>
      <rgbColor rgb="FF800080"/>
      <rgbColor rgb="FF800000"/>
      <rgbColor rgb="FF008080"/>
      <rgbColor rgb="FF0000FF"/>
      <rgbColor rgb="FF00CCFF"/>
      <rgbColor rgb="FFD9E1F2"/>
      <rgbColor rgb="FFD9D9D9"/>
      <rgbColor rgb="FFFFFF99"/>
      <rgbColor rgb="FF99CCFF"/>
      <rgbColor rgb="FFFF99CC"/>
      <rgbColor rgb="FFCC99FF"/>
      <rgbColor rgb="FFFFCC99"/>
      <rgbColor rgb="FF4F81BD"/>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2E5395"/>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PH" sz="1800" b="1" strike="noStrike" spc="-1">
                <a:solidFill>
                  <a:srgbClr val="000000"/>
                </a:solidFill>
                <a:latin typeface="Calibri"/>
              </a:rPr>
              <a:t>Points Earned vs Max per KRA</a:t>
            </a:r>
          </a:p>
        </c:rich>
      </c:tx>
      <c:overlay val="0"/>
      <c:spPr>
        <a:noFill/>
        <a:ln w="0">
          <a:noFill/>
        </a:ln>
      </c:spPr>
    </c:title>
    <c:autoTitleDeleted val="0"/>
    <c:plotArea>
      <c:layout/>
      <c:barChart>
        <c:barDir val="col"/>
        <c:grouping val="clustered"/>
        <c:varyColors val="0"/>
        <c:ser>
          <c:idx val="0"/>
          <c:order val="0"/>
          <c:tx>
            <c:strRef>
              <c:f>Dashboard!$B$9</c:f>
              <c:strCache>
                <c:ptCount val="1"/>
                <c:pt idx="0">
                  <c:v>Max Points</c:v>
                </c:pt>
              </c:strCache>
            </c:strRef>
          </c:tx>
          <c:spPr>
            <a:solidFill>
              <a:srgbClr val="4F81BD"/>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Dashboard!$A$10:$A$13</c:f>
              <c:strCache>
                <c:ptCount val="4"/>
                <c:pt idx="0">
                  <c:v>KRA I - INSTRUCTION</c:v>
                </c:pt>
                <c:pt idx="1">
                  <c:v>KRA II - RESEARCH, INNOVATION AND/OR CREATIVE WORK</c:v>
                </c:pt>
                <c:pt idx="2">
                  <c:v>KRA III - EXTENSION SERVICES</c:v>
                </c:pt>
                <c:pt idx="3">
                  <c:v>KRA IV - PROFESSIONAL DEVELOPMENT</c:v>
                </c:pt>
              </c:strCache>
            </c:strRef>
          </c:cat>
          <c:val>
            <c:numRef>
              <c:f>Dashboard!$B$10:$B$13</c:f>
              <c:numCache>
                <c:formatCode>General</c:formatCode>
                <c:ptCount val="4"/>
                <c:pt idx="0">
                  <c:v>100</c:v>
                </c:pt>
                <c:pt idx="1">
                  <c:v>100</c:v>
                </c:pt>
                <c:pt idx="2">
                  <c:v>100</c:v>
                </c:pt>
                <c:pt idx="3">
                  <c:v>100</c:v>
                </c:pt>
              </c:numCache>
            </c:numRef>
          </c:val>
          <c:extLst>
            <c:ext xmlns:c16="http://schemas.microsoft.com/office/drawing/2014/chart" uri="{C3380CC4-5D6E-409C-BE32-E72D297353CC}">
              <c16:uniqueId val="{00000000-BAB8-4DC3-892E-D28BDA082BBF}"/>
            </c:ext>
          </c:extLst>
        </c:ser>
        <c:ser>
          <c:idx val="1"/>
          <c:order val="1"/>
          <c:tx>
            <c:strRef>
              <c:f>Dashboard!$C$9</c:f>
              <c:strCache>
                <c:ptCount val="1"/>
                <c:pt idx="0">
                  <c:v>Points Earned</c:v>
                </c:pt>
              </c:strCache>
            </c:strRef>
          </c:tx>
          <c:spPr>
            <a:solidFill>
              <a:srgbClr val="C0504D"/>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Dashboard!$A$10:$A$13</c:f>
              <c:strCache>
                <c:ptCount val="4"/>
                <c:pt idx="0">
                  <c:v>KRA I - INSTRUCTION</c:v>
                </c:pt>
                <c:pt idx="1">
                  <c:v>KRA II - RESEARCH, INNOVATION AND/OR CREATIVE WORK</c:v>
                </c:pt>
                <c:pt idx="2">
                  <c:v>KRA III - EXTENSION SERVICES</c:v>
                </c:pt>
                <c:pt idx="3">
                  <c:v>KRA IV - PROFESSIONAL DEVELOPMENT</c:v>
                </c:pt>
              </c:strCache>
            </c:strRef>
          </c:cat>
          <c:val>
            <c:numRef>
              <c:f>Dashboard!$C$10:$C$13</c:f>
              <c:numCache>
                <c:formatCode>0.0</c:formatCode>
                <c:ptCount val="4"/>
                <c:pt idx="0">
                  <c:v>0</c:v>
                </c:pt>
                <c:pt idx="1">
                  <c:v>0</c:v>
                </c:pt>
                <c:pt idx="2">
                  <c:v>0</c:v>
                </c:pt>
                <c:pt idx="3">
                  <c:v>0</c:v>
                </c:pt>
              </c:numCache>
            </c:numRef>
          </c:val>
          <c:extLst>
            <c:ext xmlns:c16="http://schemas.microsoft.com/office/drawing/2014/chart" uri="{C3380CC4-5D6E-409C-BE32-E72D297353CC}">
              <c16:uniqueId val="{00000001-BAB8-4DC3-892E-D28BDA082BBF}"/>
            </c:ext>
          </c:extLst>
        </c:ser>
        <c:dLbls>
          <c:showLegendKey val="0"/>
          <c:showVal val="0"/>
          <c:showCatName val="0"/>
          <c:showSerName val="0"/>
          <c:showPercent val="0"/>
          <c:showBubbleSize val="0"/>
        </c:dLbls>
        <c:gapWidth val="150"/>
        <c:axId val="93223516"/>
        <c:axId val="16974025"/>
      </c:barChart>
      <c:catAx>
        <c:axId val="93223516"/>
        <c:scaling>
          <c:orientation val="minMax"/>
        </c:scaling>
        <c:delete val="0"/>
        <c:axPos val="b"/>
        <c:title>
          <c:tx>
            <c:rich>
              <a:bodyPr rot="0"/>
              <a:lstStyle/>
              <a:p>
                <a:pPr>
                  <a:defRPr sz="1000" b="1" strike="noStrike" spc="-1">
                    <a:solidFill>
                      <a:srgbClr val="000000"/>
                    </a:solidFill>
                    <a:latin typeface="Calibri"/>
                  </a:defRPr>
                </a:pPr>
                <a:r>
                  <a:rPr lang="en-PH" sz="1000" b="1" strike="noStrike" spc="-1">
                    <a:solidFill>
                      <a:srgbClr val="000000"/>
                    </a:solidFill>
                    <a:latin typeface="Calibri"/>
                  </a:rPr>
                  <a:t>KRA</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6974025"/>
        <c:crosses val="autoZero"/>
        <c:auto val="1"/>
        <c:lblAlgn val="ctr"/>
        <c:lblOffset val="100"/>
        <c:noMultiLvlLbl val="0"/>
      </c:catAx>
      <c:valAx>
        <c:axId val="1697402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PH" sz="1000" b="1" strike="noStrike" spc="-1">
                    <a:solidFill>
                      <a:srgbClr val="000000"/>
                    </a:solidFill>
                    <a:latin typeface="Calibri"/>
                  </a:rPr>
                  <a:t>Points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322351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55</xdr:row>
      <xdr:rowOff>0</xdr:rowOff>
    </xdr:from>
    <xdr:to>
      <xdr:col>4</xdr:col>
      <xdr:colOff>285</xdr:colOff>
      <xdr:row>70</xdr:row>
      <xdr:rowOff>21600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showGridLines="0" zoomScaleNormal="100" workbookViewId="0">
      <selection activeCell="B32" sqref="B32"/>
    </sheetView>
  </sheetViews>
  <sheetFormatPr defaultColWidth="8.6640625" defaultRowHeight="14.4" x14ac:dyDescent="0.3"/>
  <cols>
    <col min="1" max="1" width="15.109375" customWidth="1"/>
    <col min="2" max="2" width="100" customWidth="1"/>
  </cols>
  <sheetData>
    <row r="1" spans="1:2" ht="33.75" customHeight="1" x14ac:dyDescent="0.3">
      <c r="A1" s="30" t="s">
        <v>0</v>
      </c>
      <c r="B1" s="30"/>
    </row>
    <row r="2" spans="1:2" ht="33.75" customHeight="1" x14ac:dyDescent="0.3">
      <c r="A2" s="31" t="s">
        <v>1</v>
      </c>
      <c r="B2" s="31"/>
    </row>
    <row r="5" spans="1:2" ht="21.75" customHeight="1" x14ac:dyDescent="0.3">
      <c r="A5" s="32" t="s">
        <v>2</v>
      </c>
      <c r="B5" s="32"/>
    </row>
    <row r="6" spans="1:2" ht="30" customHeight="1" x14ac:dyDescent="0.3">
      <c r="A6" s="1" t="s">
        <v>3</v>
      </c>
      <c r="B6" s="2" t="s">
        <v>4</v>
      </c>
    </row>
    <row r="7" spans="1:2" ht="45" customHeight="1" x14ac:dyDescent="0.3">
      <c r="A7" s="1" t="s">
        <v>5</v>
      </c>
      <c r="B7" s="2" t="s">
        <v>6</v>
      </c>
    </row>
    <row r="8" spans="1:2" ht="30" customHeight="1" x14ac:dyDescent="0.3">
      <c r="A8" s="1" t="s">
        <v>7</v>
      </c>
      <c r="B8" s="2" t="s">
        <v>8</v>
      </c>
    </row>
    <row r="9" spans="1:2" ht="30" customHeight="1" x14ac:dyDescent="0.3">
      <c r="A9" s="1" t="s">
        <v>9</v>
      </c>
      <c r="B9" s="2" t="s">
        <v>10</v>
      </c>
    </row>
    <row r="10" spans="1:2" ht="45" customHeight="1" x14ac:dyDescent="0.3">
      <c r="A10" s="1" t="s">
        <v>11</v>
      </c>
      <c r="B10" s="2" t="s">
        <v>12</v>
      </c>
    </row>
    <row r="11" spans="1:2" ht="45" customHeight="1" x14ac:dyDescent="0.3">
      <c r="A11" s="1" t="s">
        <v>13</v>
      </c>
      <c r="B11" s="2" t="s">
        <v>14</v>
      </c>
    </row>
    <row r="13" spans="1:2" ht="21.75" customHeight="1" x14ac:dyDescent="0.3">
      <c r="A13" s="32" t="s">
        <v>15</v>
      </c>
      <c r="B13" s="32"/>
    </row>
    <row r="14" spans="1:2" ht="30" customHeight="1" x14ac:dyDescent="0.3">
      <c r="A14" s="1" t="s">
        <v>16</v>
      </c>
      <c r="B14" s="2" t="s">
        <v>17</v>
      </c>
    </row>
    <row r="15" spans="1:2" ht="45" customHeight="1" x14ac:dyDescent="0.3">
      <c r="A15" s="1" t="s">
        <v>18</v>
      </c>
      <c r="B15" s="2" t="s">
        <v>19</v>
      </c>
    </row>
    <row r="16" spans="1:2" ht="60" customHeight="1" x14ac:dyDescent="0.3">
      <c r="A16" s="1" t="s">
        <v>20</v>
      </c>
      <c r="B16" s="2" t="s">
        <v>21</v>
      </c>
    </row>
    <row r="17" spans="1:2" ht="30" customHeight="1" x14ac:dyDescent="0.3">
      <c r="A17" s="1" t="s">
        <v>22</v>
      </c>
      <c r="B17" s="2" t="s">
        <v>23</v>
      </c>
    </row>
    <row r="18" spans="1:2" ht="30" customHeight="1" x14ac:dyDescent="0.3">
      <c r="A18" s="1" t="s">
        <v>24</v>
      </c>
      <c r="B18" s="2" t="s">
        <v>25</v>
      </c>
    </row>
    <row r="19" spans="1:2" ht="30" customHeight="1" x14ac:dyDescent="0.3">
      <c r="A19" s="1" t="s">
        <v>26</v>
      </c>
      <c r="B19" s="2" t="s">
        <v>27</v>
      </c>
    </row>
    <row r="20" spans="1:2" ht="30" customHeight="1" x14ac:dyDescent="0.3">
      <c r="A20" s="1" t="s">
        <v>28</v>
      </c>
      <c r="B20" s="2" t="s">
        <v>29</v>
      </c>
    </row>
    <row r="21" spans="1:2" ht="75" customHeight="1" x14ac:dyDescent="0.3">
      <c r="A21" s="1" t="s">
        <v>30</v>
      </c>
      <c r="B21" s="2" t="s">
        <v>31</v>
      </c>
    </row>
    <row r="23" spans="1:2" ht="21.75" customHeight="1" x14ac:dyDescent="0.3">
      <c r="A23" s="32" t="s">
        <v>32</v>
      </c>
      <c r="B23" s="32"/>
    </row>
    <row r="24" spans="1:2" ht="45" customHeight="1" x14ac:dyDescent="0.3">
      <c r="A24" s="1" t="s">
        <v>33</v>
      </c>
      <c r="B24" s="2" t="s">
        <v>34</v>
      </c>
    </row>
    <row r="25" spans="1:2" ht="60" customHeight="1" x14ac:dyDescent="0.3">
      <c r="A25" s="1" t="s">
        <v>35</v>
      </c>
      <c r="B25" s="2" t="s">
        <v>36</v>
      </c>
    </row>
    <row r="26" spans="1:2" ht="45" customHeight="1" x14ac:dyDescent="0.3">
      <c r="A26" s="1" t="s">
        <v>37</v>
      </c>
      <c r="B26" s="2" t="s">
        <v>38</v>
      </c>
    </row>
    <row r="27" spans="1:2" ht="30" customHeight="1" x14ac:dyDescent="0.3">
      <c r="A27" s="1" t="s">
        <v>39</v>
      </c>
      <c r="B27" s="2" t="s">
        <v>40</v>
      </c>
    </row>
    <row r="28" spans="1:2" ht="45" customHeight="1" x14ac:dyDescent="0.3">
      <c r="A28" s="1" t="s">
        <v>41</v>
      </c>
      <c r="B28" s="2" t="s">
        <v>42</v>
      </c>
    </row>
    <row r="29" spans="1:2" ht="45" customHeight="1" x14ac:dyDescent="0.3">
      <c r="A29" s="1" t="s">
        <v>43</v>
      </c>
      <c r="B29" s="2" t="s">
        <v>44</v>
      </c>
    </row>
    <row r="30" spans="1:2" ht="75" customHeight="1" x14ac:dyDescent="0.3">
      <c r="A30" s="1" t="s">
        <v>45</v>
      </c>
      <c r="B30" s="2" t="s">
        <v>46</v>
      </c>
    </row>
    <row r="31" spans="1:2" ht="75" customHeight="1" x14ac:dyDescent="0.3">
      <c r="A31" s="1" t="s">
        <v>47</v>
      </c>
      <c r="B31" s="2" t="s">
        <v>48</v>
      </c>
    </row>
    <row r="32" spans="1:2" ht="60" customHeight="1" x14ac:dyDescent="0.3">
      <c r="A32" s="1" t="s">
        <v>49</v>
      </c>
      <c r="B32" s="2" t="s">
        <v>50</v>
      </c>
    </row>
    <row r="33" spans="1:2" ht="45" customHeight="1" x14ac:dyDescent="0.3">
      <c r="A33" s="1" t="s">
        <v>51</v>
      </c>
      <c r="B33" s="2" t="s">
        <v>52</v>
      </c>
    </row>
  </sheetData>
  <mergeCells count="5">
    <mergeCell ref="A1:B1"/>
    <mergeCell ref="A2:B2"/>
    <mergeCell ref="A5:B5"/>
    <mergeCell ref="A13:B13"/>
    <mergeCell ref="A23:B2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3"/>
  <sheetViews>
    <sheetView showGridLines="0" topLeftCell="A43" zoomScaleNormal="100" workbookViewId="0">
      <selection activeCell="B7" sqref="B7:C7"/>
    </sheetView>
  </sheetViews>
  <sheetFormatPr defaultColWidth="8.6640625" defaultRowHeight="14.4" x14ac:dyDescent="0.3"/>
  <cols>
    <col min="1" max="1" width="40" customWidth="1"/>
    <col min="2" max="2" width="22" customWidth="1"/>
    <col min="3" max="3" width="16" customWidth="1"/>
    <col min="4" max="4" width="14" customWidth="1"/>
    <col min="5" max="5" width="12" customWidth="1"/>
    <col min="6" max="6" width="20" customWidth="1"/>
    <col min="7" max="7" width="30" customWidth="1"/>
  </cols>
  <sheetData>
    <row r="1" spans="1:7" ht="30" customHeight="1" x14ac:dyDescent="0.3">
      <c r="A1" s="47" t="s">
        <v>53</v>
      </c>
      <c r="B1" s="47"/>
      <c r="C1" s="47"/>
      <c r="D1" s="47"/>
      <c r="E1" s="47"/>
      <c r="F1" s="47"/>
      <c r="G1" s="47"/>
    </row>
    <row r="2" spans="1:7" ht="18" customHeight="1" x14ac:dyDescent="0.3">
      <c r="A2" s="48" t="s">
        <v>54</v>
      </c>
      <c r="B2" s="48"/>
      <c r="C2" s="48"/>
      <c r="D2" s="48"/>
      <c r="E2" s="48"/>
      <c r="F2" s="48"/>
      <c r="G2" s="48"/>
    </row>
    <row r="4" spans="1:7" x14ac:dyDescent="0.3">
      <c r="A4" s="3" t="s">
        <v>55</v>
      </c>
      <c r="B4" s="45"/>
      <c r="C4" s="45"/>
    </row>
    <row r="5" spans="1:7" x14ac:dyDescent="0.3">
      <c r="A5" s="3" t="s">
        <v>56</v>
      </c>
      <c r="B5" s="45"/>
      <c r="C5" s="45"/>
    </row>
    <row r="6" spans="1:7" x14ac:dyDescent="0.3">
      <c r="A6" s="3" t="s">
        <v>58</v>
      </c>
      <c r="B6" s="45"/>
      <c r="C6" s="45"/>
    </row>
    <row r="7" spans="1:7" x14ac:dyDescent="0.3">
      <c r="A7" s="3" t="s">
        <v>59</v>
      </c>
      <c r="B7" s="45"/>
      <c r="C7" s="45"/>
    </row>
    <row r="9" spans="1:7" ht="24" customHeight="1" x14ac:dyDescent="0.3">
      <c r="A9" s="4" t="s">
        <v>60</v>
      </c>
      <c r="B9" s="4" t="s">
        <v>61</v>
      </c>
      <c r="C9" s="4" t="s">
        <v>62</v>
      </c>
      <c r="D9" s="4" t="s">
        <v>63</v>
      </c>
      <c r="E9" s="4" t="s">
        <v>64</v>
      </c>
      <c r="F9" s="4" t="s">
        <v>65</v>
      </c>
    </row>
    <row r="10" spans="1:7" x14ac:dyDescent="0.3">
      <c r="A10" s="5" t="s">
        <v>66</v>
      </c>
      <c r="B10" s="6">
        <v>100</v>
      </c>
      <c r="C10" s="7">
        <f>KRA_I!I39</f>
        <v>0</v>
      </c>
      <c r="D10" s="8">
        <f>C10/B10</f>
        <v>0</v>
      </c>
      <c r="E10" s="6" t="str">
        <f>IF(C10&gt;=B10,"Target Met",IF(C10&gt;=B10*0.75,"On Track",IF(C10&gt;=B10*0.5,"Needs Attention","At Risk")))</f>
        <v>At Risk</v>
      </c>
      <c r="F10" s="9"/>
    </row>
    <row r="11" spans="1:7" x14ac:dyDescent="0.3">
      <c r="A11" s="5" t="s">
        <v>67</v>
      </c>
      <c r="B11" s="6">
        <v>100</v>
      </c>
      <c r="C11" s="7">
        <f>KRA_II!I56</f>
        <v>0</v>
      </c>
      <c r="D11" s="8">
        <f>C11/B11</f>
        <v>0</v>
      </c>
      <c r="E11" s="6" t="str">
        <f>IF(C11&gt;=B11,"Target Met",IF(C11&gt;=B11*0.75,"On Track",IF(C11&gt;=B11*0.5,"Needs Attention","At Risk")))</f>
        <v>At Risk</v>
      </c>
      <c r="F11" s="9"/>
    </row>
    <row r="12" spans="1:7" x14ac:dyDescent="0.3">
      <c r="A12" s="5" t="s">
        <v>68</v>
      </c>
      <c r="B12" s="6">
        <v>100</v>
      </c>
      <c r="C12" s="7">
        <f>KRA_III!I73</f>
        <v>0</v>
      </c>
      <c r="D12" s="8">
        <f>C12/B12</f>
        <v>0</v>
      </c>
      <c r="E12" s="6" t="str">
        <f>IF(C12&gt;=B12,"Target Met",IF(C12&gt;=B12*0.75,"On Track",IF(C12&gt;=B12*0.5,"Needs Attention","At Risk")))</f>
        <v>At Risk</v>
      </c>
      <c r="F12" s="9"/>
    </row>
    <row r="13" spans="1:7" x14ac:dyDescent="0.3">
      <c r="A13" s="5" t="s">
        <v>69</v>
      </c>
      <c r="B13" s="6">
        <v>100</v>
      </c>
      <c r="C13" s="7">
        <f>KRA_IV!I46</f>
        <v>0</v>
      </c>
      <c r="D13" s="8">
        <f>C13/B13</f>
        <v>0</v>
      </c>
      <c r="E13" s="6" t="str">
        <f>IF(C13&gt;=B13,"Target Met",IF(C13&gt;=B13*0.75,"On Track",IF(C13&gt;=B13*0.5,"Needs Attention","At Risk")))</f>
        <v>At Risk</v>
      </c>
      <c r="F13" s="9"/>
    </row>
    <row r="14" spans="1:7" x14ac:dyDescent="0.3">
      <c r="A14" s="10" t="s">
        <v>70</v>
      </c>
      <c r="B14" s="10">
        <f>SUM(B10:B13)</f>
        <v>400</v>
      </c>
      <c r="C14" s="11">
        <f>SUM(C10:C13)</f>
        <v>0</v>
      </c>
      <c r="D14" s="12">
        <f>C14/B14</f>
        <v>0</v>
      </c>
      <c r="E14" s="10"/>
      <c r="F14" s="10"/>
    </row>
    <row r="16" spans="1:7" ht="21.75" customHeight="1" x14ac:dyDescent="0.3">
      <c r="A16" s="46" t="s">
        <v>71</v>
      </c>
      <c r="B16" s="46"/>
      <c r="C16" s="46"/>
      <c r="D16" s="46"/>
      <c r="E16" s="46"/>
      <c r="F16" s="46"/>
      <c r="G16" s="46"/>
    </row>
    <row r="17" spans="1:7" ht="43.5" customHeight="1" x14ac:dyDescent="0.3">
      <c r="A17" s="34" t="s">
        <v>72</v>
      </c>
      <c r="B17" s="34"/>
      <c r="C17" s="34"/>
      <c r="D17" s="34"/>
      <c r="E17" s="34"/>
      <c r="F17" s="34"/>
      <c r="G17" s="34"/>
    </row>
    <row r="19" spans="1:7" ht="15.75" customHeight="1" x14ac:dyDescent="0.3">
      <c r="A19" s="40" t="s">
        <v>73</v>
      </c>
      <c r="B19" s="40"/>
      <c r="C19" s="40"/>
      <c r="D19" s="40"/>
      <c r="E19" s="41">
        <f>IFERROR(MATCH(B5,Rank_Tables!$C$26:$C$44,0),1)</f>
        <v>1</v>
      </c>
      <c r="F19" s="41"/>
      <c r="G19" s="41"/>
    </row>
    <row r="20" spans="1:7" ht="15.75" customHeight="1" x14ac:dyDescent="0.3">
      <c r="A20" s="40" t="s">
        <v>74</v>
      </c>
      <c r="B20" s="40"/>
      <c r="C20" s="40"/>
      <c r="D20" s="40"/>
      <c r="E20" s="41" t="str">
        <f>IFERROR(INDEX(Rank_Tables!$B$26:$B$44,E19),"")</f>
        <v>Instructor</v>
      </c>
      <c r="F20" s="41"/>
      <c r="G20" s="41"/>
    </row>
    <row r="21" spans="1:7" ht="15.75" customHeight="1" x14ac:dyDescent="0.3">
      <c r="A21" s="40" t="s">
        <v>75</v>
      </c>
      <c r="B21" s="40"/>
      <c r="C21" s="40"/>
      <c r="D21" s="40"/>
      <c r="E21" s="41" t="str">
        <f>IFERROR(INDEX(Rank_Tables!$D$26:$D$44,E19),"")</f>
        <v>SG-12</v>
      </c>
      <c r="F21" s="41"/>
      <c r="G21" s="41"/>
    </row>
    <row r="22" spans="1:7" ht="15.75" customHeight="1" x14ac:dyDescent="0.3">
      <c r="A22" s="40" t="s">
        <v>76</v>
      </c>
      <c r="B22" s="40"/>
      <c r="C22" s="40"/>
      <c r="D22" s="40"/>
      <c r="E22" s="43">
        <f>IFERROR(VLOOKUP(E20,Rank_Tables!$A$6:$F$10,3,FALSE()),0)</f>
        <v>0.6</v>
      </c>
      <c r="F22" s="43"/>
      <c r="G22" s="43"/>
    </row>
    <row r="23" spans="1:7" ht="15.75" customHeight="1" x14ac:dyDescent="0.3">
      <c r="A23" s="40" t="s">
        <v>77</v>
      </c>
      <c r="B23" s="40"/>
      <c r="C23" s="40"/>
      <c r="D23" s="40"/>
      <c r="E23" s="43">
        <f>IFERROR(VLOOKUP(E20,Rank_Tables!$A$6:$F$10,4,FALSE()),0)</f>
        <v>0.1</v>
      </c>
      <c r="F23" s="43"/>
      <c r="G23" s="43"/>
    </row>
    <row r="24" spans="1:7" ht="15.75" customHeight="1" x14ac:dyDescent="0.3">
      <c r="A24" s="40" t="s">
        <v>78</v>
      </c>
      <c r="B24" s="40"/>
      <c r="C24" s="40"/>
      <c r="D24" s="40"/>
      <c r="E24" s="43">
        <f>IFERROR(VLOOKUP(E20,Rank_Tables!$A$6:$F$10,5,FALSE()),0)</f>
        <v>0.2</v>
      </c>
      <c r="F24" s="43"/>
      <c r="G24" s="43"/>
    </row>
    <row r="25" spans="1:7" ht="15.75" customHeight="1" x14ac:dyDescent="0.3">
      <c r="A25" s="40" t="s">
        <v>79</v>
      </c>
      <c r="B25" s="40"/>
      <c r="C25" s="40"/>
      <c r="D25" s="40"/>
      <c r="E25" s="43">
        <f>IFERROR(VLOOKUP(E20,Rank_Tables!$A$6:$F$10,6,FALSE()),0)</f>
        <v>0.1</v>
      </c>
      <c r="F25" s="43"/>
      <c r="G25" s="43"/>
    </row>
    <row r="26" spans="1:7" ht="15.75" customHeight="1" x14ac:dyDescent="0.3">
      <c r="A26" s="38" t="s">
        <v>80</v>
      </c>
      <c r="B26" s="38"/>
      <c r="C26" s="38"/>
      <c r="D26" s="38"/>
      <c r="E26" s="44">
        <f>C10*E22+C11*E23+C12*E24+C13*E25</f>
        <v>0</v>
      </c>
      <c r="F26" s="44"/>
      <c r="G26" s="44"/>
    </row>
    <row r="27" spans="1:7" ht="15.75" customHeight="1" x14ac:dyDescent="0.3">
      <c r="A27" s="38" t="s">
        <v>81</v>
      </c>
      <c r="B27" s="38"/>
      <c r="C27" s="38"/>
      <c r="D27" s="38"/>
      <c r="E27" s="39">
        <f>IFERROR(VLOOKUP(E26,Rank_Tables!$A$15:$C$21,3,TRUE()),0)</f>
        <v>0</v>
      </c>
      <c r="F27" s="39"/>
      <c r="G27" s="39"/>
    </row>
    <row r="28" spans="1:7" ht="15.75" customHeight="1" x14ac:dyDescent="0.3">
      <c r="A28" s="40" t="s">
        <v>82</v>
      </c>
      <c r="B28" s="40"/>
      <c r="C28" s="40"/>
      <c r="D28" s="40"/>
      <c r="E28" s="41">
        <f>MIN(E19+E27,19)</f>
        <v>1</v>
      </c>
      <c r="F28" s="41"/>
      <c r="G28" s="41"/>
    </row>
    <row r="29" spans="1:7" ht="15.75" customHeight="1" x14ac:dyDescent="0.3">
      <c r="A29" s="40" t="s">
        <v>83</v>
      </c>
      <c r="B29" s="40"/>
      <c r="C29" s="40"/>
      <c r="D29" s="40"/>
      <c r="E29" s="41" t="str">
        <f>IFERROR(INDEX(Rank_Tables!$B$26:$B$44,E28),"")</f>
        <v>Instructor</v>
      </c>
      <c r="F29" s="41"/>
      <c r="G29" s="41"/>
    </row>
    <row r="30" spans="1:7" ht="15.75" customHeight="1" x14ac:dyDescent="0.3">
      <c r="A30" s="40" t="s">
        <v>84</v>
      </c>
      <c r="B30" s="40"/>
      <c r="C30" s="40"/>
      <c r="D30" s="40"/>
      <c r="E30" s="41" t="str">
        <f>IF(E29&lt;&gt;E20,"YES - recompute with new rank weights (Sec. 8.3)","No")</f>
        <v>No</v>
      </c>
      <c r="F30" s="41"/>
      <c r="G30" s="41"/>
    </row>
    <row r="31" spans="1:7" ht="15.75" customHeight="1" x14ac:dyDescent="0.3">
      <c r="A31" s="40" t="s">
        <v>85</v>
      </c>
      <c r="B31" s="40"/>
      <c r="C31" s="40"/>
      <c r="D31" s="40"/>
      <c r="E31" s="43">
        <f>IFERROR(VLOOKUP(E29,Rank_Tables!$A$6:$F$10,3,FALSE()),0)</f>
        <v>0.6</v>
      </c>
      <c r="F31" s="43"/>
      <c r="G31" s="43"/>
    </row>
    <row r="32" spans="1:7" ht="15.75" customHeight="1" x14ac:dyDescent="0.3">
      <c r="A32" s="40" t="s">
        <v>86</v>
      </c>
      <c r="B32" s="40"/>
      <c r="C32" s="40"/>
      <c r="D32" s="40"/>
      <c r="E32" s="43">
        <f>IFERROR(VLOOKUP(E29,Rank_Tables!$A$6:$F$10,4,FALSE()),0)</f>
        <v>0.1</v>
      </c>
      <c r="F32" s="43"/>
      <c r="G32" s="43"/>
    </row>
    <row r="33" spans="1:7" ht="15.75" customHeight="1" x14ac:dyDescent="0.3">
      <c r="A33" s="40" t="s">
        <v>87</v>
      </c>
      <c r="B33" s="40"/>
      <c r="C33" s="40"/>
      <c r="D33" s="40"/>
      <c r="E33" s="43">
        <f>IFERROR(VLOOKUP(E29,Rank_Tables!$A$6:$F$10,5,FALSE()),0)</f>
        <v>0.2</v>
      </c>
      <c r="F33" s="43"/>
      <c r="G33" s="43"/>
    </row>
    <row r="34" spans="1:7" ht="15.75" customHeight="1" x14ac:dyDescent="0.3">
      <c r="A34" s="40" t="s">
        <v>88</v>
      </c>
      <c r="B34" s="40"/>
      <c r="C34" s="40"/>
      <c r="D34" s="40"/>
      <c r="E34" s="43">
        <f>IFERROR(VLOOKUP(E29,Rank_Tables!$A$6:$F$10,6,FALSE()),0)</f>
        <v>0.1</v>
      </c>
      <c r="F34" s="43"/>
      <c r="G34" s="43"/>
    </row>
    <row r="35" spans="1:7" ht="15.75" customHeight="1" x14ac:dyDescent="0.3">
      <c r="A35" s="40" t="s">
        <v>89</v>
      </c>
      <c r="B35" s="40"/>
      <c r="C35" s="40"/>
      <c r="D35" s="40"/>
      <c r="E35" s="42">
        <f>C10*E31+C11*E32+C12*E33+C13*E34</f>
        <v>0</v>
      </c>
      <c r="F35" s="42"/>
      <c r="G35" s="42"/>
    </row>
    <row r="36" spans="1:7" ht="15.75" customHeight="1" x14ac:dyDescent="0.3">
      <c r="A36" s="40" t="s">
        <v>90</v>
      </c>
      <c r="B36" s="40"/>
      <c r="C36" s="40"/>
      <c r="D36" s="40"/>
      <c r="E36" s="41">
        <f>IFERROR(VLOOKUP(E35,Rank_Tables!$A$15:$C$21,3,TRUE()),0)</f>
        <v>0</v>
      </c>
      <c r="F36" s="41"/>
      <c r="G36" s="41"/>
    </row>
    <row r="37" spans="1:7" ht="15.75" customHeight="1" x14ac:dyDescent="0.3">
      <c r="A37" s="40" t="s">
        <v>91</v>
      </c>
      <c r="B37" s="40"/>
      <c r="C37" s="40"/>
      <c r="D37" s="40"/>
      <c r="E37" s="41">
        <f>MIN(E19+E36,19)</f>
        <v>1</v>
      </c>
      <c r="F37" s="41"/>
      <c r="G37" s="41"/>
    </row>
    <row r="38" spans="1:7" ht="15.75" customHeight="1" x14ac:dyDescent="0.3">
      <c r="A38" s="40" t="s">
        <v>92</v>
      </c>
      <c r="B38" s="40"/>
      <c r="C38" s="40"/>
      <c r="D38" s="40"/>
      <c r="E38" s="41" t="str">
        <f>IFERROR(INDEX(Rank_Tables!$B$26:$B$44,E37),"")</f>
        <v>Instructor</v>
      </c>
      <c r="F38" s="41"/>
      <c r="G38" s="41"/>
    </row>
    <row r="39" spans="1:7" ht="15.75" customHeight="1" x14ac:dyDescent="0.3">
      <c r="A39" s="40" t="s">
        <v>93</v>
      </c>
      <c r="B39" s="40"/>
      <c r="C39" s="40"/>
      <c r="D39" s="40"/>
      <c r="E39" s="41">
        <f>IFERROR(VLOOKUP(E20,Rank_Tables!$A$49:$C$53,3,FALSE()),E19)</f>
        <v>3</v>
      </c>
      <c r="F39" s="41"/>
      <c r="G39" s="41"/>
    </row>
    <row r="40" spans="1:7" ht="15.75" customHeight="1" x14ac:dyDescent="0.3">
      <c r="A40" s="38" t="s">
        <v>94</v>
      </c>
      <c r="B40" s="38"/>
      <c r="C40" s="38"/>
      <c r="D40" s="38"/>
      <c r="E40" s="39">
        <f>IF(E30="No",E28,IF(E38=E29,E37,E39))</f>
        <v>1</v>
      </c>
      <c r="F40" s="39"/>
      <c r="G40" s="39"/>
    </row>
    <row r="41" spans="1:7" ht="15.75" customHeight="1" x14ac:dyDescent="0.3">
      <c r="A41" s="36" t="s">
        <v>95</v>
      </c>
      <c r="B41" s="36"/>
      <c r="C41" s="36"/>
      <c r="D41" s="36"/>
      <c r="E41" s="37" t="str">
        <f>IFERROR(INDEX(Rank_Tables!$C$26:$C$44,E40),"")</f>
        <v>Instructor I</v>
      </c>
      <c r="F41" s="37"/>
      <c r="G41" s="37"/>
    </row>
    <row r="42" spans="1:7" ht="15.75" customHeight="1" x14ac:dyDescent="0.3">
      <c r="A42" s="38" t="s">
        <v>96</v>
      </c>
      <c r="B42" s="38"/>
      <c r="C42" s="38"/>
      <c r="D42" s="38"/>
      <c r="E42" s="39" t="str">
        <f>IFERROR(INDEX(Rank_Tables!$D$26:$D$44,E40),"")</f>
        <v>SG-12</v>
      </c>
      <c r="F42" s="39"/>
      <c r="G42" s="39"/>
    </row>
    <row r="43" spans="1:7" ht="15.75" customHeight="1" x14ac:dyDescent="0.3">
      <c r="A43" s="38" t="s">
        <v>97</v>
      </c>
      <c r="B43" s="38"/>
      <c r="C43" s="38"/>
      <c r="D43" s="38"/>
      <c r="E43" s="39">
        <f>MAX(E40-E19,0)</f>
        <v>0</v>
      </c>
      <c r="F43" s="39"/>
      <c r="G43" s="39"/>
    </row>
    <row r="45" spans="1:7" ht="43.5" customHeight="1" x14ac:dyDescent="0.3">
      <c r="A45" s="34" t="s">
        <v>98</v>
      </c>
      <c r="B45" s="34"/>
      <c r="C45" s="34"/>
      <c r="D45" s="34"/>
      <c r="E45" s="34"/>
      <c r="F45" s="34"/>
      <c r="G45" s="34"/>
    </row>
    <row r="47" spans="1:7" ht="13.5" customHeight="1" x14ac:dyDescent="0.3">
      <c r="A47" s="35" t="s">
        <v>99</v>
      </c>
      <c r="B47" s="35"/>
      <c r="C47" s="35"/>
      <c r="D47" s="35"/>
      <c r="E47" s="35"/>
      <c r="F47" s="35"/>
      <c r="G47" s="35"/>
    </row>
    <row r="48" spans="1:7" ht="25.5" customHeight="1" x14ac:dyDescent="0.3">
      <c r="A48" s="33" t="s">
        <v>100</v>
      </c>
      <c r="B48" s="33"/>
      <c r="C48" s="33"/>
      <c r="D48" s="33"/>
      <c r="E48" s="33"/>
      <c r="F48" s="33"/>
      <c r="G48" s="33"/>
    </row>
    <row r="49" spans="1:7" ht="25.5" customHeight="1" x14ac:dyDescent="0.3">
      <c r="A49" s="33" t="s">
        <v>101</v>
      </c>
      <c r="B49" s="33"/>
      <c r="C49" s="33"/>
      <c r="D49" s="33"/>
      <c r="E49" s="33"/>
      <c r="F49" s="33"/>
      <c r="G49" s="33"/>
    </row>
    <row r="50" spans="1:7" ht="25.5" customHeight="1" x14ac:dyDescent="0.3">
      <c r="A50" s="33" t="s">
        <v>102</v>
      </c>
      <c r="B50" s="33"/>
      <c r="C50" s="33"/>
      <c r="D50" s="33"/>
      <c r="E50" s="33"/>
      <c r="F50" s="33"/>
      <c r="G50" s="33"/>
    </row>
    <row r="51" spans="1:7" ht="13.5" customHeight="1" x14ac:dyDescent="0.3">
      <c r="A51" s="33" t="s">
        <v>103</v>
      </c>
      <c r="B51" s="33"/>
      <c r="C51" s="33"/>
      <c r="D51" s="33"/>
      <c r="E51" s="33"/>
      <c r="F51" s="33"/>
      <c r="G51" s="33"/>
    </row>
    <row r="52" spans="1:7" ht="13.5" customHeight="1" x14ac:dyDescent="0.3">
      <c r="A52" s="33" t="s">
        <v>104</v>
      </c>
      <c r="B52" s="33"/>
      <c r="C52" s="33"/>
      <c r="D52" s="33"/>
      <c r="E52" s="33"/>
      <c r="F52" s="33"/>
      <c r="G52" s="33"/>
    </row>
    <row r="53" spans="1:7" ht="25.5" customHeight="1" x14ac:dyDescent="0.3">
      <c r="A53" s="33" t="s">
        <v>105</v>
      </c>
      <c r="B53" s="33"/>
      <c r="C53" s="33"/>
      <c r="D53" s="33"/>
      <c r="E53" s="33"/>
      <c r="F53" s="33"/>
      <c r="G53" s="33"/>
    </row>
  </sheetData>
  <mergeCells count="66">
    <mergeCell ref="A1:G1"/>
    <mergeCell ref="A2:G2"/>
    <mergeCell ref="B4:C4"/>
    <mergeCell ref="B5:C5"/>
    <mergeCell ref="B6:C6"/>
    <mergeCell ref="B7:C7"/>
    <mergeCell ref="A16:G16"/>
    <mergeCell ref="A17:G17"/>
    <mergeCell ref="A19:D19"/>
    <mergeCell ref="E19:G19"/>
    <mergeCell ref="A20:D20"/>
    <mergeCell ref="E20:G20"/>
    <mergeCell ref="A21:D21"/>
    <mergeCell ref="E21:G21"/>
    <mergeCell ref="A22:D22"/>
    <mergeCell ref="E22:G22"/>
    <mergeCell ref="A23:D23"/>
    <mergeCell ref="E23:G23"/>
    <mergeCell ref="A24:D24"/>
    <mergeCell ref="E24:G24"/>
    <mergeCell ref="A25:D25"/>
    <mergeCell ref="E25:G25"/>
    <mergeCell ref="A26:D26"/>
    <mergeCell ref="E26:G26"/>
    <mergeCell ref="A27:D27"/>
    <mergeCell ref="E27:G27"/>
    <mergeCell ref="A28:D28"/>
    <mergeCell ref="E28:G28"/>
    <mergeCell ref="A29:D29"/>
    <mergeCell ref="E29:G29"/>
    <mergeCell ref="A30:D30"/>
    <mergeCell ref="E30:G30"/>
    <mergeCell ref="A31:D31"/>
    <mergeCell ref="E31:G31"/>
    <mergeCell ref="A32:D32"/>
    <mergeCell ref="E32:G32"/>
    <mergeCell ref="A33:D33"/>
    <mergeCell ref="E33:G33"/>
    <mergeCell ref="A34:D34"/>
    <mergeCell ref="E34:G34"/>
    <mergeCell ref="A35:D35"/>
    <mergeCell ref="E35:G35"/>
    <mergeCell ref="A36:D36"/>
    <mergeCell ref="E36:G36"/>
    <mergeCell ref="A37:D37"/>
    <mergeCell ref="E37:G37"/>
    <mergeCell ref="A38:D38"/>
    <mergeCell ref="E38:G38"/>
    <mergeCell ref="A39:D39"/>
    <mergeCell ref="E39:G39"/>
    <mergeCell ref="A40:D40"/>
    <mergeCell ref="E40:G40"/>
    <mergeCell ref="A41:D41"/>
    <mergeCell ref="E41:G41"/>
    <mergeCell ref="A42:D42"/>
    <mergeCell ref="E42:G42"/>
    <mergeCell ref="A43:D43"/>
    <mergeCell ref="E43:G43"/>
    <mergeCell ref="A51:G51"/>
    <mergeCell ref="A52:G52"/>
    <mergeCell ref="A53:G53"/>
    <mergeCell ref="A45:G45"/>
    <mergeCell ref="A47:G47"/>
    <mergeCell ref="A48:G48"/>
    <mergeCell ref="A49:G49"/>
    <mergeCell ref="A50:G50"/>
  </mergeCells>
  <pageMargins left="0.75" right="0.75" top="1" bottom="1"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1">
        <x14:dataValidation type="list" allowBlank="1" xr:uid="{00000000-0002-0000-0100-000000000000}">
          <x14:formula1>
            <xm:f>Rank_Tables!$C$26:$C$44</xm:f>
          </x14:formula1>
          <x14:formula2>
            <xm:f>0</xm:f>
          </x14:formula2>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0"/>
  <sheetViews>
    <sheetView showGridLines="0" topLeftCell="A28" zoomScaleNormal="100" workbookViewId="0">
      <selection sqref="A1:F1"/>
    </sheetView>
  </sheetViews>
  <sheetFormatPr defaultColWidth="8.6640625" defaultRowHeight="14.4" x14ac:dyDescent="0.3"/>
  <cols>
    <col min="1" max="1" width="4" customWidth="1"/>
    <col min="2" max="2" width="30" customWidth="1"/>
    <col min="3" max="6" width="16" customWidth="1"/>
    <col min="7" max="7" width="4" customWidth="1"/>
    <col min="8" max="8" width="16" customWidth="1"/>
  </cols>
  <sheetData>
    <row r="1" spans="1:6" ht="27.75" customHeight="1" x14ac:dyDescent="0.3">
      <c r="A1" s="50" t="s">
        <v>106</v>
      </c>
      <c r="B1" s="50"/>
      <c r="C1" s="50"/>
      <c r="D1" s="50"/>
      <c r="E1" s="50"/>
      <c r="F1" s="50"/>
    </row>
    <row r="2" spans="1:6" x14ac:dyDescent="0.3">
      <c r="A2" s="51" t="s">
        <v>107</v>
      </c>
      <c r="B2" s="51"/>
      <c r="C2" s="51"/>
      <c r="D2" s="51"/>
      <c r="E2" s="51"/>
      <c r="F2" s="51"/>
    </row>
    <row r="4" spans="1:6" ht="21.75" customHeight="1" x14ac:dyDescent="0.3">
      <c r="A4" s="49" t="s">
        <v>108</v>
      </c>
      <c r="B4" s="49"/>
      <c r="C4" s="49"/>
      <c r="D4" s="49"/>
      <c r="E4" s="49"/>
      <c r="F4" s="49"/>
    </row>
    <row r="5" spans="1:6" ht="25.5" customHeight="1" x14ac:dyDescent="0.3">
      <c r="A5" s="4" t="s">
        <v>109</v>
      </c>
      <c r="B5" s="4" t="s">
        <v>110</v>
      </c>
      <c r="C5" s="4" t="s">
        <v>111</v>
      </c>
      <c r="D5" s="4" t="s">
        <v>112</v>
      </c>
      <c r="E5" s="4" t="s">
        <v>113</v>
      </c>
      <c r="F5" s="4" t="s">
        <v>114</v>
      </c>
    </row>
    <row r="6" spans="1:6" x14ac:dyDescent="0.3">
      <c r="A6" s="5" t="s">
        <v>115</v>
      </c>
      <c r="B6" s="13" t="s">
        <v>116</v>
      </c>
      <c r="C6" s="14">
        <v>0.6</v>
      </c>
      <c r="D6" s="14">
        <v>0.1</v>
      </c>
      <c r="E6" s="14">
        <v>0.2</v>
      </c>
      <c r="F6" s="14">
        <v>0.1</v>
      </c>
    </row>
    <row r="7" spans="1:6" x14ac:dyDescent="0.3">
      <c r="A7" s="5" t="s">
        <v>117</v>
      </c>
      <c r="B7" s="13" t="s">
        <v>118</v>
      </c>
      <c r="C7" s="14">
        <v>0.5</v>
      </c>
      <c r="D7" s="14">
        <v>0.2</v>
      </c>
      <c r="E7" s="14">
        <v>0.2</v>
      </c>
      <c r="F7" s="14">
        <v>0.1</v>
      </c>
    </row>
    <row r="8" spans="1:6" x14ac:dyDescent="0.3">
      <c r="A8" s="5" t="s">
        <v>119</v>
      </c>
      <c r="B8" s="13" t="s">
        <v>120</v>
      </c>
      <c r="C8" s="14">
        <v>0.4</v>
      </c>
      <c r="D8" s="14">
        <v>0.3</v>
      </c>
      <c r="E8" s="14">
        <v>0.2</v>
      </c>
      <c r="F8" s="14">
        <v>0.1</v>
      </c>
    </row>
    <row r="9" spans="1:6" x14ac:dyDescent="0.3">
      <c r="A9" s="5" t="s">
        <v>121</v>
      </c>
      <c r="B9" s="13" t="s">
        <v>122</v>
      </c>
      <c r="C9" s="14">
        <v>0.3</v>
      </c>
      <c r="D9" s="14">
        <v>0.4</v>
      </c>
      <c r="E9" s="14">
        <v>0.2</v>
      </c>
      <c r="F9" s="14">
        <v>0.1</v>
      </c>
    </row>
    <row r="10" spans="1:6" x14ac:dyDescent="0.3">
      <c r="A10" s="5" t="s">
        <v>123</v>
      </c>
      <c r="B10" s="13" t="s">
        <v>124</v>
      </c>
      <c r="C10" s="14">
        <v>0.2</v>
      </c>
      <c r="D10" s="14">
        <v>0.5</v>
      </c>
      <c r="E10" s="14">
        <v>0.2</v>
      </c>
      <c r="F10" s="14">
        <v>0.1</v>
      </c>
    </row>
    <row r="13" spans="1:6" ht="21.75" customHeight="1" x14ac:dyDescent="0.3">
      <c r="A13" s="49" t="s">
        <v>125</v>
      </c>
      <c r="B13" s="49"/>
      <c r="C13" s="49"/>
    </row>
    <row r="14" spans="1:6" ht="25.5" customHeight="1" x14ac:dyDescent="0.3">
      <c r="A14" s="4" t="s">
        <v>126</v>
      </c>
      <c r="B14" s="4" t="s">
        <v>127</v>
      </c>
      <c r="C14" s="4" t="s">
        <v>128</v>
      </c>
    </row>
    <row r="15" spans="1:6" x14ac:dyDescent="0.3">
      <c r="A15" s="15">
        <v>0</v>
      </c>
      <c r="B15" s="15">
        <v>40</v>
      </c>
      <c r="C15" s="15">
        <v>0</v>
      </c>
    </row>
    <row r="16" spans="1:6" x14ac:dyDescent="0.3">
      <c r="A16" s="15">
        <v>41</v>
      </c>
      <c r="B16" s="15">
        <v>50</v>
      </c>
      <c r="C16" s="15">
        <v>1</v>
      </c>
    </row>
    <row r="17" spans="1:4" x14ac:dyDescent="0.3">
      <c r="A17" s="15">
        <v>51</v>
      </c>
      <c r="B17" s="15">
        <v>60</v>
      </c>
      <c r="C17" s="15">
        <v>2</v>
      </c>
    </row>
    <row r="18" spans="1:4" x14ac:dyDescent="0.3">
      <c r="A18" s="15">
        <v>61</v>
      </c>
      <c r="B18" s="15">
        <v>70</v>
      </c>
      <c r="C18" s="15">
        <v>3</v>
      </c>
    </row>
    <row r="19" spans="1:4" x14ac:dyDescent="0.3">
      <c r="A19" s="15">
        <v>71</v>
      </c>
      <c r="B19" s="15">
        <v>80</v>
      </c>
      <c r="C19" s="15">
        <v>4</v>
      </c>
    </row>
    <row r="20" spans="1:4" x14ac:dyDescent="0.3">
      <c r="A20" s="15">
        <v>81</v>
      </c>
      <c r="B20" s="15">
        <v>90</v>
      </c>
      <c r="C20" s="15">
        <v>5</v>
      </c>
    </row>
    <row r="21" spans="1:4" x14ac:dyDescent="0.3">
      <c r="A21" s="15">
        <v>91</v>
      </c>
      <c r="B21" s="15">
        <v>100</v>
      </c>
      <c r="C21" s="15">
        <v>6</v>
      </c>
    </row>
    <row r="24" spans="1:4" ht="21.75" customHeight="1" x14ac:dyDescent="0.3">
      <c r="A24" s="49" t="s">
        <v>129</v>
      </c>
      <c r="B24" s="49"/>
      <c r="C24" s="49"/>
      <c r="D24" s="49"/>
    </row>
    <row r="25" spans="1:4" ht="25.5" customHeight="1" x14ac:dyDescent="0.3">
      <c r="A25" s="4" t="s">
        <v>130</v>
      </c>
      <c r="B25" s="4" t="s">
        <v>109</v>
      </c>
      <c r="C25" s="4" t="s">
        <v>131</v>
      </c>
      <c r="D25" s="4" t="s">
        <v>132</v>
      </c>
    </row>
    <row r="26" spans="1:4" x14ac:dyDescent="0.3">
      <c r="A26" s="6">
        <v>1</v>
      </c>
      <c r="B26" s="5" t="s">
        <v>115</v>
      </c>
      <c r="C26" s="5" t="s">
        <v>57</v>
      </c>
      <c r="D26" s="6" t="s">
        <v>133</v>
      </c>
    </row>
    <row r="27" spans="1:4" x14ac:dyDescent="0.3">
      <c r="A27" s="6">
        <v>2</v>
      </c>
      <c r="B27" s="5" t="s">
        <v>115</v>
      </c>
      <c r="C27" s="5" t="s">
        <v>134</v>
      </c>
      <c r="D27" s="6" t="s">
        <v>135</v>
      </c>
    </row>
    <row r="28" spans="1:4" x14ac:dyDescent="0.3">
      <c r="A28" s="6">
        <v>3</v>
      </c>
      <c r="B28" s="5" t="s">
        <v>115</v>
      </c>
      <c r="C28" s="5" t="s">
        <v>136</v>
      </c>
      <c r="D28" s="6" t="s">
        <v>137</v>
      </c>
    </row>
    <row r="29" spans="1:4" x14ac:dyDescent="0.3">
      <c r="A29" s="6">
        <v>4</v>
      </c>
      <c r="B29" s="5" t="s">
        <v>117</v>
      </c>
      <c r="C29" s="5" t="s">
        <v>138</v>
      </c>
      <c r="D29" s="6" t="s">
        <v>139</v>
      </c>
    </row>
    <row r="30" spans="1:4" x14ac:dyDescent="0.3">
      <c r="A30" s="6">
        <v>5</v>
      </c>
      <c r="B30" s="5" t="s">
        <v>117</v>
      </c>
      <c r="C30" s="5" t="s">
        <v>140</v>
      </c>
      <c r="D30" s="6" t="s">
        <v>141</v>
      </c>
    </row>
    <row r="31" spans="1:4" x14ac:dyDescent="0.3">
      <c r="A31" s="6">
        <v>6</v>
      </c>
      <c r="B31" s="5" t="s">
        <v>117</v>
      </c>
      <c r="C31" s="5" t="s">
        <v>142</v>
      </c>
      <c r="D31" s="6" t="s">
        <v>143</v>
      </c>
    </row>
    <row r="32" spans="1:4" x14ac:dyDescent="0.3">
      <c r="A32" s="6">
        <v>7</v>
      </c>
      <c r="B32" s="5" t="s">
        <v>117</v>
      </c>
      <c r="C32" s="5" t="s">
        <v>144</v>
      </c>
      <c r="D32" s="6" t="s">
        <v>145</v>
      </c>
    </row>
    <row r="33" spans="1:4" x14ac:dyDescent="0.3">
      <c r="A33" s="6">
        <v>8</v>
      </c>
      <c r="B33" s="5" t="s">
        <v>119</v>
      </c>
      <c r="C33" s="5" t="s">
        <v>146</v>
      </c>
      <c r="D33" s="6" t="s">
        <v>147</v>
      </c>
    </row>
    <row r="34" spans="1:4" x14ac:dyDescent="0.3">
      <c r="A34" s="6">
        <v>9</v>
      </c>
      <c r="B34" s="5" t="s">
        <v>119</v>
      </c>
      <c r="C34" s="5" t="s">
        <v>148</v>
      </c>
      <c r="D34" s="6" t="s">
        <v>149</v>
      </c>
    </row>
    <row r="35" spans="1:4" x14ac:dyDescent="0.3">
      <c r="A35" s="6">
        <v>10</v>
      </c>
      <c r="B35" s="5" t="s">
        <v>119</v>
      </c>
      <c r="C35" s="5" t="s">
        <v>150</v>
      </c>
      <c r="D35" s="6" t="s">
        <v>151</v>
      </c>
    </row>
    <row r="36" spans="1:4" x14ac:dyDescent="0.3">
      <c r="A36" s="6">
        <v>11</v>
      </c>
      <c r="B36" s="5" t="s">
        <v>119</v>
      </c>
      <c r="C36" s="5" t="s">
        <v>152</v>
      </c>
      <c r="D36" s="6" t="s">
        <v>153</v>
      </c>
    </row>
    <row r="37" spans="1:4" x14ac:dyDescent="0.3">
      <c r="A37" s="6">
        <v>12</v>
      </c>
      <c r="B37" s="5" t="s">
        <v>119</v>
      </c>
      <c r="C37" s="5" t="s">
        <v>154</v>
      </c>
      <c r="D37" s="6" t="s">
        <v>155</v>
      </c>
    </row>
    <row r="38" spans="1:4" x14ac:dyDescent="0.3">
      <c r="A38" s="6">
        <v>13</v>
      </c>
      <c r="B38" s="5" t="s">
        <v>121</v>
      </c>
      <c r="C38" s="5" t="s">
        <v>156</v>
      </c>
      <c r="D38" s="6" t="s">
        <v>157</v>
      </c>
    </row>
    <row r="39" spans="1:4" x14ac:dyDescent="0.3">
      <c r="A39" s="6">
        <v>14</v>
      </c>
      <c r="B39" s="5" t="s">
        <v>121</v>
      </c>
      <c r="C39" s="5" t="s">
        <v>158</v>
      </c>
      <c r="D39" s="6" t="s">
        <v>159</v>
      </c>
    </row>
    <row r="40" spans="1:4" x14ac:dyDescent="0.3">
      <c r="A40" s="6">
        <v>15</v>
      </c>
      <c r="B40" s="5" t="s">
        <v>121</v>
      </c>
      <c r="C40" s="5" t="s">
        <v>160</v>
      </c>
      <c r="D40" s="6" t="s">
        <v>161</v>
      </c>
    </row>
    <row r="41" spans="1:4" x14ac:dyDescent="0.3">
      <c r="A41" s="6">
        <v>16</v>
      </c>
      <c r="B41" s="5" t="s">
        <v>121</v>
      </c>
      <c r="C41" s="5" t="s">
        <v>162</v>
      </c>
      <c r="D41" s="6" t="s">
        <v>163</v>
      </c>
    </row>
    <row r="42" spans="1:4" x14ac:dyDescent="0.3">
      <c r="A42" s="6">
        <v>17</v>
      </c>
      <c r="B42" s="5" t="s">
        <v>121</v>
      </c>
      <c r="C42" s="5" t="s">
        <v>164</v>
      </c>
      <c r="D42" s="6" t="s">
        <v>165</v>
      </c>
    </row>
    <row r="43" spans="1:4" x14ac:dyDescent="0.3">
      <c r="A43" s="6">
        <v>18</v>
      </c>
      <c r="B43" s="5" t="s">
        <v>121</v>
      </c>
      <c r="C43" s="5" t="s">
        <v>166</v>
      </c>
      <c r="D43" s="6" t="s">
        <v>167</v>
      </c>
    </row>
    <row r="44" spans="1:4" x14ac:dyDescent="0.3">
      <c r="A44" s="6">
        <v>19</v>
      </c>
      <c r="B44" s="5" t="s">
        <v>123</v>
      </c>
      <c r="C44" s="5" t="s">
        <v>123</v>
      </c>
      <c r="D44" s="6" t="s">
        <v>168</v>
      </c>
    </row>
    <row r="47" spans="1:4" ht="21.75" customHeight="1" x14ac:dyDescent="0.3">
      <c r="A47" s="49" t="s">
        <v>169</v>
      </c>
      <c r="B47" s="49"/>
      <c r="C47" s="49"/>
    </row>
    <row r="48" spans="1:4" ht="25.5" customHeight="1" x14ac:dyDescent="0.3">
      <c r="A48" s="4" t="s">
        <v>109</v>
      </c>
      <c r="B48" s="4" t="s">
        <v>170</v>
      </c>
      <c r="C48" s="4" t="s">
        <v>171</v>
      </c>
    </row>
    <row r="49" spans="1:6" x14ac:dyDescent="0.3">
      <c r="A49" s="5" t="s">
        <v>115</v>
      </c>
      <c r="B49" s="6">
        <v>1</v>
      </c>
      <c r="C49" s="6">
        <v>3</v>
      </c>
    </row>
    <row r="50" spans="1:6" x14ac:dyDescent="0.3">
      <c r="A50" s="5" t="s">
        <v>117</v>
      </c>
      <c r="B50" s="6">
        <v>4</v>
      </c>
      <c r="C50" s="6">
        <v>7</v>
      </c>
    </row>
    <row r="51" spans="1:6" x14ac:dyDescent="0.3">
      <c r="A51" s="5" t="s">
        <v>119</v>
      </c>
      <c r="B51" s="6">
        <v>8</v>
      </c>
      <c r="C51" s="6">
        <v>12</v>
      </c>
    </row>
    <row r="52" spans="1:6" x14ac:dyDescent="0.3">
      <c r="A52" s="5" t="s">
        <v>121</v>
      </c>
      <c r="B52" s="6">
        <v>13</v>
      </c>
      <c r="C52" s="6">
        <v>18</v>
      </c>
    </row>
    <row r="53" spans="1:6" x14ac:dyDescent="0.3">
      <c r="A53" s="5" t="s">
        <v>123</v>
      </c>
      <c r="B53" s="6">
        <v>19</v>
      </c>
      <c r="C53" s="6">
        <v>19</v>
      </c>
    </row>
    <row r="56" spans="1:6" ht="25.5" customHeight="1" x14ac:dyDescent="0.3">
      <c r="A56" s="35" t="s">
        <v>99</v>
      </c>
      <c r="B56" s="35"/>
      <c r="C56" s="35"/>
      <c r="D56" s="35"/>
      <c r="E56" s="35"/>
      <c r="F56" s="35"/>
    </row>
    <row r="57" spans="1:6" ht="25.5" customHeight="1" x14ac:dyDescent="0.3">
      <c r="A57" s="33" t="s">
        <v>172</v>
      </c>
      <c r="B57" s="33"/>
      <c r="C57" s="33"/>
      <c r="D57" s="33"/>
      <c r="E57" s="33"/>
      <c r="F57" s="33"/>
    </row>
    <row r="58" spans="1:6" ht="25.5" customHeight="1" x14ac:dyDescent="0.3">
      <c r="A58" s="33" t="s">
        <v>173</v>
      </c>
      <c r="B58" s="33"/>
      <c r="C58" s="33"/>
      <c r="D58" s="33"/>
      <c r="E58" s="33"/>
      <c r="F58" s="33"/>
    </row>
    <row r="59" spans="1:6" ht="25.5" customHeight="1" x14ac:dyDescent="0.3">
      <c r="A59" s="33" t="s">
        <v>174</v>
      </c>
      <c r="B59" s="33"/>
      <c r="C59" s="33"/>
      <c r="D59" s="33"/>
      <c r="E59" s="33"/>
      <c r="F59" s="33"/>
    </row>
    <row r="60" spans="1:6" ht="25.5" customHeight="1" x14ac:dyDescent="0.3">
      <c r="A60" s="33" t="s">
        <v>175</v>
      </c>
      <c r="B60" s="33"/>
      <c r="C60" s="33"/>
      <c r="D60" s="33"/>
      <c r="E60" s="33"/>
      <c r="F60" s="33"/>
    </row>
  </sheetData>
  <mergeCells count="11">
    <mergeCell ref="A1:F1"/>
    <mergeCell ref="A2:F2"/>
    <mergeCell ref="A4:F4"/>
    <mergeCell ref="A13:C13"/>
    <mergeCell ref="A24:D24"/>
    <mergeCell ref="A60:F60"/>
    <mergeCell ref="A47:C47"/>
    <mergeCell ref="A56:F56"/>
    <mergeCell ref="A57:F57"/>
    <mergeCell ref="A58:F58"/>
    <mergeCell ref="A59:F5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9"/>
  <sheetViews>
    <sheetView showGridLines="0" tabSelected="1" zoomScaleNormal="100" workbookViewId="0">
      <pane ySplit="4" topLeftCell="A26" activePane="bottomLeft" state="frozen"/>
      <selection pane="bottomLeft" activeCell="B21" sqref="B21:K21"/>
    </sheetView>
  </sheetViews>
  <sheetFormatPr defaultColWidth="8.6640625" defaultRowHeight="14.4" x14ac:dyDescent="0.3"/>
  <cols>
    <col min="1" max="1" width="5" customWidth="1"/>
    <col min="2" max="2" width="34" customWidth="1"/>
    <col min="3" max="3" width="48" customWidth="1"/>
    <col min="4" max="4" width="12" customWidth="1"/>
    <col min="5" max="5" width="20" customWidth="1"/>
    <col min="6" max="6" width="14" customWidth="1"/>
    <col min="7" max="7" width="12" customWidth="1"/>
    <col min="8" max="9" width="13" customWidth="1"/>
    <col min="10" max="10" width="16" customWidth="1"/>
    <col min="11" max="11" width="40" customWidth="1"/>
  </cols>
  <sheetData>
    <row r="1" spans="1:11" ht="25.5" customHeight="1" x14ac:dyDescent="0.3">
      <c r="A1" s="57" t="s">
        <v>176</v>
      </c>
      <c r="B1" s="57"/>
      <c r="C1" s="57"/>
      <c r="D1" s="57"/>
      <c r="E1" s="57"/>
      <c r="F1" s="57"/>
      <c r="G1" s="57"/>
      <c r="H1" s="57"/>
      <c r="I1" s="57"/>
      <c r="J1" s="57"/>
      <c r="K1" s="57"/>
    </row>
    <row r="2" spans="1:11" ht="13.5" customHeight="1" x14ac:dyDescent="0.3">
      <c r="A2" s="58" t="s">
        <v>177</v>
      </c>
      <c r="B2" s="58"/>
      <c r="C2" s="58"/>
      <c r="D2" s="58"/>
      <c r="E2" s="58"/>
      <c r="F2" s="58"/>
      <c r="G2" s="58"/>
      <c r="H2" s="58"/>
      <c r="I2" s="58"/>
      <c r="J2" s="58"/>
      <c r="K2" s="58"/>
    </row>
    <row r="4" spans="1:11" ht="30" customHeight="1" x14ac:dyDescent="0.3">
      <c r="A4" s="4" t="s">
        <v>178</v>
      </c>
      <c r="B4" s="4" t="s">
        <v>179</v>
      </c>
      <c r="C4" s="4" t="s">
        <v>180</v>
      </c>
      <c r="D4" s="4" t="s">
        <v>181</v>
      </c>
      <c r="E4" s="4" t="s">
        <v>182</v>
      </c>
      <c r="F4" s="4" t="s">
        <v>183</v>
      </c>
      <c r="G4" s="4" t="s">
        <v>184</v>
      </c>
      <c r="H4" s="4" t="s">
        <v>185</v>
      </c>
      <c r="I4" s="4" t="s">
        <v>62</v>
      </c>
      <c r="J4" s="4" t="s">
        <v>186</v>
      </c>
      <c r="K4" s="4" t="s">
        <v>187</v>
      </c>
    </row>
    <row r="5" spans="1:11" ht="18" customHeight="1" x14ac:dyDescent="0.3">
      <c r="A5" s="16"/>
      <c r="B5" s="53" t="s">
        <v>188</v>
      </c>
      <c r="C5" s="53"/>
      <c r="D5" s="16"/>
      <c r="E5" s="16"/>
      <c r="F5" s="17">
        <v>60</v>
      </c>
      <c r="G5" s="16"/>
      <c r="H5" s="16"/>
      <c r="I5" s="16"/>
      <c r="J5" s="16"/>
      <c r="K5" s="16"/>
    </row>
    <row r="6" spans="1:11" ht="26.4" x14ac:dyDescent="0.3">
      <c r="A6" s="18">
        <v>1</v>
      </c>
      <c r="B6" s="18"/>
      <c r="C6" s="19" t="s">
        <v>189</v>
      </c>
      <c r="D6" s="15">
        <v>36</v>
      </c>
      <c r="E6" s="18" t="s">
        <v>190</v>
      </c>
      <c r="F6" s="18"/>
      <c r="G6" s="20">
        <v>0</v>
      </c>
      <c r="H6" s="21">
        <v>1</v>
      </c>
      <c r="I6" s="22">
        <f t="shared" ref="I6:I7" si="0">D6*G6*H6</f>
        <v>0</v>
      </c>
      <c r="J6" s="15" t="s">
        <v>191</v>
      </c>
      <c r="K6" s="19"/>
    </row>
    <row r="7" spans="1:11" ht="26.4" x14ac:dyDescent="0.3">
      <c r="A7" s="18">
        <v>2</v>
      </c>
      <c r="B7" s="18"/>
      <c r="C7" s="19" t="s">
        <v>192</v>
      </c>
      <c r="D7" s="15">
        <v>24</v>
      </c>
      <c r="E7" s="18" t="s">
        <v>193</v>
      </c>
      <c r="F7" s="18"/>
      <c r="G7" s="20">
        <v>0</v>
      </c>
      <c r="H7" s="21">
        <v>1</v>
      </c>
      <c r="I7" s="22">
        <f t="shared" si="0"/>
        <v>0</v>
      </c>
      <c r="J7" s="15" t="s">
        <v>191</v>
      </c>
      <c r="K7" s="19"/>
    </row>
    <row r="8" spans="1:11" x14ac:dyDescent="0.3">
      <c r="A8" s="23"/>
      <c r="B8" s="54"/>
      <c r="C8" s="54"/>
      <c r="D8" s="23"/>
      <c r="E8" s="23"/>
      <c r="F8" s="23"/>
      <c r="G8" s="23"/>
      <c r="H8" s="23"/>
      <c r="I8" s="24">
        <f>SUM(I6:I7)</f>
        <v>0</v>
      </c>
      <c r="J8" s="23"/>
      <c r="K8" s="23"/>
    </row>
    <row r="9" spans="1:11" x14ac:dyDescent="0.3">
      <c r="A9" s="25"/>
      <c r="B9" s="55"/>
      <c r="C9" s="55"/>
      <c r="D9" s="25"/>
      <c r="E9" s="25"/>
      <c r="F9" s="25"/>
      <c r="G9" s="25"/>
      <c r="H9" s="25"/>
      <c r="I9" s="26">
        <f>MIN(I8,60)</f>
        <v>0</v>
      </c>
      <c r="J9" s="25"/>
      <c r="K9" s="25"/>
    </row>
    <row r="10" spans="1:11" ht="25.5" customHeight="1" x14ac:dyDescent="0.3">
      <c r="B10" s="56" t="s">
        <v>194</v>
      </c>
      <c r="C10" s="56"/>
      <c r="D10" s="56"/>
      <c r="E10" s="56"/>
      <c r="F10" s="56"/>
      <c r="G10" s="56"/>
      <c r="H10" s="56"/>
      <c r="I10" s="56"/>
      <c r="J10" s="56"/>
      <c r="K10" s="56"/>
    </row>
    <row r="12" spans="1:11" ht="18" customHeight="1" x14ac:dyDescent="0.3">
      <c r="A12" s="16"/>
      <c r="B12" s="53" t="s">
        <v>195</v>
      </c>
      <c r="C12" s="53"/>
      <c r="D12" s="16"/>
      <c r="E12" s="16"/>
      <c r="F12" s="17">
        <v>30</v>
      </c>
      <c r="G12" s="16"/>
      <c r="H12" s="16"/>
      <c r="I12" s="16"/>
      <c r="J12" s="16"/>
      <c r="K12" s="16"/>
    </row>
    <row r="13" spans="1:11" x14ac:dyDescent="0.3">
      <c r="A13" s="18">
        <v>3</v>
      </c>
      <c r="B13" s="18"/>
      <c r="C13" s="19" t="s">
        <v>196</v>
      </c>
      <c r="D13" s="15">
        <v>30</v>
      </c>
      <c r="E13" s="18" t="s">
        <v>197</v>
      </c>
      <c r="F13" s="18"/>
      <c r="G13" s="20">
        <v>0</v>
      </c>
      <c r="H13" s="21">
        <v>1</v>
      </c>
      <c r="I13" s="22">
        <f t="shared" ref="I13:I18" si="1">D13*G13*H13</f>
        <v>0</v>
      </c>
      <c r="J13" s="15" t="s">
        <v>191</v>
      </c>
      <c r="K13" s="19"/>
    </row>
    <row r="14" spans="1:11" x14ac:dyDescent="0.3">
      <c r="A14" s="18">
        <v>4</v>
      </c>
      <c r="B14" s="18"/>
      <c r="C14" s="19" t="s">
        <v>198</v>
      </c>
      <c r="D14" s="15">
        <v>16</v>
      </c>
      <c r="E14" s="18" t="s">
        <v>197</v>
      </c>
      <c r="F14" s="18"/>
      <c r="G14" s="20">
        <v>0</v>
      </c>
      <c r="H14" s="21">
        <v>1</v>
      </c>
      <c r="I14" s="22">
        <f t="shared" si="1"/>
        <v>0</v>
      </c>
      <c r="J14" s="15" t="s">
        <v>191</v>
      </c>
      <c r="K14" s="19"/>
    </row>
    <row r="15" spans="1:11" x14ac:dyDescent="0.3">
      <c r="A15" s="18">
        <v>5</v>
      </c>
      <c r="B15" s="18"/>
      <c r="C15" s="19" t="s">
        <v>199</v>
      </c>
      <c r="D15" s="15">
        <v>16</v>
      </c>
      <c r="E15" s="18" t="s">
        <v>197</v>
      </c>
      <c r="F15" s="18"/>
      <c r="G15" s="20">
        <v>0</v>
      </c>
      <c r="H15" s="21">
        <v>1</v>
      </c>
      <c r="I15" s="22">
        <f t="shared" si="1"/>
        <v>0</v>
      </c>
      <c r="J15" s="15" t="s">
        <v>191</v>
      </c>
      <c r="K15" s="19"/>
    </row>
    <row r="16" spans="1:11" ht="26.4" x14ac:dyDescent="0.3">
      <c r="A16" s="18">
        <v>6</v>
      </c>
      <c r="B16" s="18"/>
      <c r="C16" s="19" t="s">
        <v>200</v>
      </c>
      <c r="D16" s="15">
        <v>16</v>
      </c>
      <c r="E16" s="18" t="s">
        <v>197</v>
      </c>
      <c r="F16" s="18"/>
      <c r="G16" s="20">
        <v>0</v>
      </c>
      <c r="H16" s="21">
        <v>1</v>
      </c>
      <c r="I16" s="22">
        <f t="shared" si="1"/>
        <v>0</v>
      </c>
      <c r="J16" s="15" t="s">
        <v>191</v>
      </c>
      <c r="K16" s="19"/>
    </row>
    <row r="17" spans="1:11" ht="26.4" x14ac:dyDescent="0.3">
      <c r="A17" s="18">
        <v>7</v>
      </c>
      <c r="B17" s="18"/>
      <c r="C17" s="19" t="s">
        <v>201</v>
      </c>
      <c r="D17" s="15">
        <v>10</v>
      </c>
      <c r="E17" s="18" t="s">
        <v>202</v>
      </c>
      <c r="F17" s="18"/>
      <c r="G17" s="20">
        <v>0</v>
      </c>
      <c r="H17" s="21">
        <v>1</v>
      </c>
      <c r="I17" s="22">
        <f t="shared" si="1"/>
        <v>0</v>
      </c>
      <c r="J17" s="15" t="s">
        <v>191</v>
      </c>
      <c r="K17" s="19"/>
    </row>
    <row r="18" spans="1:11" ht="26.4" x14ac:dyDescent="0.3">
      <c r="A18" s="18">
        <v>8</v>
      </c>
      <c r="B18" s="18"/>
      <c r="C18" s="19" t="s">
        <v>203</v>
      </c>
      <c r="D18" s="15">
        <v>5</v>
      </c>
      <c r="E18" s="18" t="s">
        <v>202</v>
      </c>
      <c r="F18" s="18"/>
      <c r="G18" s="20">
        <v>0</v>
      </c>
      <c r="H18" s="21">
        <v>1</v>
      </c>
      <c r="I18" s="22">
        <f t="shared" si="1"/>
        <v>0</v>
      </c>
      <c r="J18" s="15" t="s">
        <v>191</v>
      </c>
      <c r="K18" s="19"/>
    </row>
    <row r="19" spans="1:11" x14ac:dyDescent="0.3">
      <c r="A19" s="23"/>
      <c r="B19" s="54"/>
      <c r="C19" s="54"/>
      <c r="D19" s="23"/>
      <c r="E19" s="23"/>
      <c r="F19" s="23"/>
      <c r="G19" s="23"/>
      <c r="H19" s="23"/>
      <c r="I19" s="24">
        <f>SUM(I13:I18)</f>
        <v>0</v>
      </c>
      <c r="J19" s="23"/>
      <c r="K19" s="23"/>
    </row>
    <row r="20" spans="1:11" x14ac:dyDescent="0.3">
      <c r="A20" s="25"/>
      <c r="B20" s="55"/>
      <c r="C20" s="55"/>
      <c r="D20" s="25"/>
      <c r="E20" s="25"/>
      <c r="F20" s="25"/>
      <c r="G20" s="25"/>
      <c r="H20" s="25"/>
      <c r="I20" s="26">
        <f>MIN(I19,30)</f>
        <v>0</v>
      </c>
      <c r="J20" s="25"/>
      <c r="K20" s="25"/>
    </row>
    <row r="21" spans="1:11" ht="25.5" customHeight="1" x14ac:dyDescent="0.3">
      <c r="B21" s="56" t="s">
        <v>204</v>
      </c>
      <c r="C21" s="56"/>
      <c r="D21" s="56"/>
      <c r="E21" s="56"/>
      <c r="F21" s="56"/>
      <c r="G21" s="56"/>
      <c r="H21" s="56"/>
      <c r="I21" s="56"/>
      <c r="J21" s="56"/>
      <c r="K21" s="56"/>
    </row>
    <row r="23" spans="1:11" ht="18" customHeight="1" x14ac:dyDescent="0.3">
      <c r="A23" s="16"/>
      <c r="B23" s="53" t="s">
        <v>205</v>
      </c>
      <c r="C23" s="53"/>
      <c r="D23" s="16"/>
      <c r="E23" s="16"/>
      <c r="F23" s="17">
        <v>10</v>
      </c>
      <c r="G23" s="16"/>
      <c r="H23" s="16"/>
      <c r="I23" s="16"/>
      <c r="J23" s="16"/>
      <c r="K23" s="16"/>
    </row>
    <row r="24" spans="1:11" x14ac:dyDescent="0.3">
      <c r="A24" s="18">
        <v>9</v>
      </c>
      <c r="B24" s="18"/>
      <c r="C24" s="19" t="s">
        <v>206</v>
      </c>
      <c r="D24" s="15">
        <v>3</v>
      </c>
      <c r="E24" s="18" t="s">
        <v>207</v>
      </c>
      <c r="F24" s="18"/>
      <c r="G24" s="20">
        <v>0</v>
      </c>
      <c r="H24" s="21">
        <v>1</v>
      </c>
      <c r="I24" s="22">
        <f t="shared" ref="I24:I32" si="2">D24*G24*H24</f>
        <v>0</v>
      </c>
      <c r="J24" s="15" t="s">
        <v>191</v>
      </c>
      <c r="K24" s="19"/>
    </row>
    <row r="25" spans="1:11" x14ac:dyDescent="0.3">
      <c r="A25" s="18">
        <v>10</v>
      </c>
      <c r="B25" s="18"/>
      <c r="C25" s="19" t="s">
        <v>208</v>
      </c>
      <c r="D25" s="15">
        <v>5</v>
      </c>
      <c r="E25" s="18" t="s">
        <v>207</v>
      </c>
      <c r="F25" s="18"/>
      <c r="G25" s="20">
        <v>0</v>
      </c>
      <c r="H25" s="21">
        <v>1</v>
      </c>
      <c r="I25" s="22">
        <f t="shared" si="2"/>
        <v>0</v>
      </c>
      <c r="J25" s="15" t="s">
        <v>191</v>
      </c>
      <c r="K25" s="19"/>
    </row>
    <row r="26" spans="1:11" x14ac:dyDescent="0.3">
      <c r="A26" s="18">
        <v>11</v>
      </c>
      <c r="B26" s="18"/>
      <c r="C26" s="19" t="s">
        <v>209</v>
      </c>
      <c r="D26" s="15">
        <v>8</v>
      </c>
      <c r="E26" s="18" t="s">
        <v>207</v>
      </c>
      <c r="F26" s="18"/>
      <c r="G26" s="20">
        <v>0</v>
      </c>
      <c r="H26" s="21">
        <v>1</v>
      </c>
      <c r="I26" s="22">
        <f t="shared" si="2"/>
        <v>0</v>
      </c>
      <c r="J26" s="15" t="s">
        <v>191</v>
      </c>
      <c r="K26" s="19"/>
    </row>
    <row r="27" spans="1:11" x14ac:dyDescent="0.3">
      <c r="A27" s="18">
        <v>12</v>
      </c>
      <c r="B27" s="18"/>
      <c r="C27" s="19" t="s">
        <v>210</v>
      </c>
      <c r="D27" s="15">
        <v>10</v>
      </c>
      <c r="E27" s="18" t="s">
        <v>207</v>
      </c>
      <c r="F27" s="18"/>
      <c r="G27" s="20">
        <v>0</v>
      </c>
      <c r="H27" s="21">
        <v>1</v>
      </c>
      <c r="I27" s="22">
        <f t="shared" si="2"/>
        <v>0</v>
      </c>
      <c r="J27" s="15" t="s">
        <v>191</v>
      </c>
      <c r="K27" s="19"/>
    </row>
    <row r="28" spans="1:11" x14ac:dyDescent="0.3">
      <c r="A28" s="18">
        <v>13</v>
      </c>
      <c r="B28" s="18"/>
      <c r="C28" s="19" t="s">
        <v>211</v>
      </c>
      <c r="D28" s="15">
        <v>1</v>
      </c>
      <c r="E28" s="18" t="s">
        <v>207</v>
      </c>
      <c r="F28" s="18"/>
      <c r="G28" s="20">
        <v>0</v>
      </c>
      <c r="H28" s="21">
        <v>1</v>
      </c>
      <c r="I28" s="22">
        <f t="shared" si="2"/>
        <v>0</v>
      </c>
      <c r="J28" s="15" t="s">
        <v>191</v>
      </c>
      <c r="K28" s="19"/>
    </row>
    <row r="29" spans="1:11" x14ac:dyDescent="0.3">
      <c r="A29" s="18">
        <v>14</v>
      </c>
      <c r="B29" s="18"/>
      <c r="C29" s="19" t="s">
        <v>212</v>
      </c>
      <c r="D29" s="15">
        <v>1</v>
      </c>
      <c r="E29" s="18" t="s">
        <v>207</v>
      </c>
      <c r="F29" s="18"/>
      <c r="G29" s="20">
        <v>0</v>
      </c>
      <c r="H29" s="21">
        <v>1</v>
      </c>
      <c r="I29" s="22">
        <f t="shared" si="2"/>
        <v>0</v>
      </c>
      <c r="J29" s="15" t="s">
        <v>191</v>
      </c>
      <c r="K29" s="19"/>
    </row>
    <row r="30" spans="1:11" x14ac:dyDescent="0.3">
      <c r="A30" s="18">
        <v>15</v>
      </c>
      <c r="B30" s="18"/>
      <c r="C30" s="19" t="s">
        <v>213</v>
      </c>
      <c r="D30" s="15">
        <v>2</v>
      </c>
      <c r="E30" s="18" t="s">
        <v>207</v>
      </c>
      <c r="F30" s="18"/>
      <c r="G30" s="20">
        <v>0</v>
      </c>
      <c r="H30" s="21">
        <v>1</v>
      </c>
      <c r="I30" s="22">
        <f t="shared" si="2"/>
        <v>0</v>
      </c>
      <c r="J30" s="15" t="s">
        <v>191</v>
      </c>
      <c r="K30" s="19"/>
    </row>
    <row r="31" spans="1:11" x14ac:dyDescent="0.3">
      <c r="A31" s="18">
        <v>16</v>
      </c>
      <c r="B31" s="18"/>
      <c r="C31" s="19" t="s">
        <v>214</v>
      </c>
      <c r="D31" s="15">
        <v>2</v>
      </c>
      <c r="E31" s="18" t="s">
        <v>207</v>
      </c>
      <c r="F31" s="18"/>
      <c r="G31" s="20">
        <v>0</v>
      </c>
      <c r="H31" s="21">
        <v>1</v>
      </c>
      <c r="I31" s="22">
        <f t="shared" si="2"/>
        <v>0</v>
      </c>
      <c r="J31" s="15" t="s">
        <v>191</v>
      </c>
      <c r="K31" s="19"/>
    </row>
    <row r="32" spans="1:11" x14ac:dyDescent="0.3">
      <c r="A32" s="18">
        <v>17</v>
      </c>
      <c r="B32" s="18"/>
      <c r="C32" s="19" t="s">
        <v>215</v>
      </c>
      <c r="D32" s="15">
        <v>3</v>
      </c>
      <c r="E32" s="18" t="s">
        <v>207</v>
      </c>
      <c r="F32" s="18"/>
      <c r="G32" s="20">
        <v>0</v>
      </c>
      <c r="H32" s="21">
        <v>1</v>
      </c>
      <c r="I32" s="22">
        <f t="shared" si="2"/>
        <v>0</v>
      </c>
      <c r="J32" s="15" t="s">
        <v>191</v>
      </c>
      <c r="K32" s="19"/>
    </row>
    <row r="33" spans="1:11" x14ac:dyDescent="0.3">
      <c r="A33" s="23"/>
      <c r="B33" s="54"/>
      <c r="C33" s="54"/>
      <c r="D33" s="23"/>
      <c r="E33" s="23"/>
      <c r="F33" s="23"/>
      <c r="G33" s="23"/>
      <c r="H33" s="23"/>
      <c r="I33" s="24">
        <f>SUM(I24:I32)</f>
        <v>0</v>
      </c>
      <c r="J33" s="23"/>
      <c r="K33" s="23"/>
    </row>
    <row r="34" spans="1:11" x14ac:dyDescent="0.3">
      <c r="A34" s="25"/>
      <c r="B34" s="55"/>
      <c r="C34" s="55"/>
      <c r="D34" s="25"/>
      <c r="E34" s="25"/>
      <c r="F34" s="25"/>
      <c r="G34" s="25"/>
      <c r="H34" s="25"/>
      <c r="I34" s="26">
        <f>MIN(I33,10)</f>
        <v>0</v>
      </c>
      <c r="J34" s="25"/>
      <c r="K34" s="25"/>
    </row>
    <row r="35" spans="1:11" ht="25.5" customHeight="1" x14ac:dyDescent="0.3">
      <c r="B35" s="56" t="s">
        <v>216</v>
      </c>
      <c r="C35" s="56"/>
      <c r="D35" s="56"/>
      <c r="E35" s="56"/>
      <c r="F35" s="56"/>
      <c r="G35" s="56"/>
      <c r="H35" s="56"/>
      <c r="I35" s="56"/>
      <c r="J35" s="56"/>
      <c r="K35" s="56"/>
    </row>
    <row r="38" spans="1:11" x14ac:dyDescent="0.3">
      <c r="A38" s="23"/>
      <c r="B38" s="54"/>
      <c r="C38" s="54"/>
      <c r="D38" s="23"/>
      <c r="E38" s="23"/>
      <c r="F38" s="23"/>
      <c r="G38" s="23"/>
      <c r="H38" s="23"/>
      <c r="I38" s="27">
        <f>I9+I20+I34</f>
        <v>0</v>
      </c>
      <c r="J38" s="23"/>
      <c r="K38" s="23"/>
    </row>
    <row r="39" spans="1:11" ht="15.6" x14ac:dyDescent="0.3">
      <c r="A39" s="28"/>
      <c r="B39" s="52"/>
      <c r="C39" s="52"/>
      <c r="D39" s="28"/>
      <c r="E39" s="28"/>
      <c r="F39" s="28"/>
      <c r="G39" s="28"/>
      <c r="H39" s="28"/>
      <c r="I39" s="29">
        <f>MIN(I38,100)</f>
        <v>0</v>
      </c>
      <c r="J39" s="28"/>
      <c r="K39" s="28"/>
    </row>
  </sheetData>
  <mergeCells count="16">
    <mergeCell ref="A1:K1"/>
    <mergeCell ref="A2:K2"/>
    <mergeCell ref="B5:C5"/>
    <mergeCell ref="B8:C8"/>
    <mergeCell ref="B9:C9"/>
    <mergeCell ref="B10:K10"/>
    <mergeCell ref="B12:C12"/>
    <mergeCell ref="B19:C19"/>
    <mergeCell ref="B20:C20"/>
    <mergeCell ref="B21:K21"/>
    <mergeCell ref="B39:C39"/>
    <mergeCell ref="B23:C23"/>
    <mergeCell ref="B33:C33"/>
    <mergeCell ref="B34:C34"/>
    <mergeCell ref="B35:K35"/>
    <mergeCell ref="B38:C38"/>
  </mergeCells>
  <dataValidations count="2">
    <dataValidation type="list" allowBlank="1" sqref="J5:J39" xr:uid="{00000000-0002-0000-0300-000000000000}">
      <formula1>"Not Started,In Progress,Evidence Complete,Submitted,Verified"</formula1>
      <formula2>0</formula2>
    </dataValidation>
    <dataValidation type="decimal" allowBlank="1" error="Enter a share between 0% and 100%." sqref="H5:H39" xr:uid="{00000000-0002-0000-0300-000001000000}">
      <formula1>0</formula1>
      <formula2>1</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6"/>
  <sheetViews>
    <sheetView showGridLines="0" zoomScaleNormal="100" workbookViewId="0">
      <pane ySplit="4" topLeftCell="A5" activePane="bottomLeft" state="frozen"/>
      <selection pane="bottomLeft" activeCell="G13" sqref="G13"/>
    </sheetView>
  </sheetViews>
  <sheetFormatPr defaultColWidth="8.6640625" defaultRowHeight="14.4" x14ac:dyDescent="0.3"/>
  <cols>
    <col min="1" max="1" width="5" customWidth="1"/>
    <col min="2" max="2" width="34" customWidth="1"/>
    <col min="3" max="3" width="48" customWidth="1"/>
    <col min="4" max="4" width="12" customWidth="1"/>
    <col min="5" max="5" width="20" customWidth="1"/>
    <col min="6" max="6" width="14" customWidth="1"/>
    <col min="7" max="7" width="12" customWidth="1"/>
    <col min="8" max="9" width="13" customWidth="1"/>
    <col min="10" max="10" width="16" customWidth="1"/>
    <col min="11" max="11" width="40" customWidth="1"/>
  </cols>
  <sheetData>
    <row r="1" spans="1:11" ht="25.5" customHeight="1" x14ac:dyDescent="0.3">
      <c r="A1" s="57" t="s">
        <v>217</v>
      </c>
      <c r="B1" s="57"/>
      <c r="C1" s="57"/>
      <c r="D1" s="57"/>
      <c r="E1" s="57"/>
      <c r="F1" s="57"/>
      <c r="G1" s="57"/>
      <c r="H1" s="57"/>
      <c r="I1" s="57"/>
      <c r="J1" s="57"/>
      <c r="K1" s="57"/>
    </row>
    <row r="2" spans="1:11" ht="13.5" customHeight="1" x14ac:dyDescent="0.3">
      <c r="A2" s="58" t="s">
        <v>177</v>
      </c>
      <c r="B2" s="58"/>
      <c r="C2" s="58"/>
      <c r="D2" s="58"/>
      <c r="E2" s="58"/>
      <c r="F2" s="58"/>
      <c r="G2" s="58"/>
      <c r="H2" s="58"/>
      <c r="I2" s="58"/>
      <c r="J2" s="58"/>
      <c r="K2" s="58"/>
    </row>
    <row r="4" spans="1:11" ht="30" customHeight="1" x14ac:dyDescent="0.3">
      <c r="A4" s="4" t="s">
        <v>178</v>
      </c>
      <c r="B4" s="4" t="s">
        <v>179</v>
      </c>
      <c r="C4" s="4" t="s">
        <v>180</v>
      </c>
      <c r="D4" s="4" t="s">
        <v>181</v>
      </c>
      <c r="E4" s="4" t="s">
        <v>182</v>
      </c>
      <c r="F4" s="4" t="s">
        <v>183</v>
      </c>
      <c r="G4" s="4" t="s">
        <v>184</v>
      </c>
      <c r="H4" s="4" t="s">
        <v>185</v>
      </c>
      <c r="I4" s="4" t="s">
        <v>62</v>
      </c>
      <c r="J4" s="4" t="s">
        <v>186</v>
      </c>
      <c r="K4" s="4" t="s">
        <v>187</v>
      </c>
    </row>
    <row r="5" spans="1:11" ht="18" customHeight="1" x14ac:dyDescent="0.3">
      <c r="A5" s="16"/>
      <c r="B5" s="53" t="s">
        <v>218</v>
      </c>
      <c r="C5" s="53"/>
      <c r="D5" s="16"/>
      <c r="E5" s="16"/>
      <c r="F5" s="17">
        <v>100</v>
      </c>
      <c r="G5" s="16"/>
      <c r="H5" s="16"/>
      <c r="I5" s="16"/>
      <c r="J5" s="16"/>
      <c r="K5" s="16"/>
    </row>
    <row r="6" spans="1:11" x14ac:dyDescent="0.3">
      <c r="A6" s="18">
        <v>1</v>
      </c>
      <c r="B6" s="18"/>
      <c r="C6" s="19" t="s">
        <v>219</v>
      </c>
      <c r="D6" s="15">
        <v>100</v>
      </c>
      <c r="E6" s="18" t="s">
        <v>220</v>
      </c>
      <c r="F6" s="18"/>
      <c r="G6" s="20">
        <v>0</v>
      </c>
      <c r="H6" s="21">
        <v>1</v>
      </c>
      <c r="I6" s="22">
        <f>D6*G6*H6</f>
        <v>0</v>
      </c>
      <c r="J6" s="15" t="s">
        <v>191</v>
      </c>
      <c r="K6" s="19"/>
    </row>
    <row r="7" spans="1:11" x14ac:dyDescent="0.3">
      <c r="A7" s="18">
        <v>2</v>
      </c>
      <c r="B7" s="18"/>
      <c r="C7" s="19" t="s">
        <v>221</v>
      </c>
      <c r="D7" s="15">
        <v>35</v>
      </c>
      <c r="E7" s="18" t="s">
        <v>222</v>
      </c>
      <c r="F7" s="18"/>
      <c r="G7" s="20">
        <v>0</v>
      </c>
      <c r="H7" s="21">
        <v>1</v>
      </c>
      <c r="I7" s="22">
        <f>D7*G7*H7</f>
        <v>0</v>
      </c>
      <c r="J7" s="15" t="s">
        <v>191</v>
      </c>
      <c r="K7" s="19"/>
    </row>
    <row r="8" spans="1:11" ht="26.4" x14ac:dyDescent="0.3">
      <c r="A8" s="18">
        <v>3</v>
      </c>
      <c r="B8" s="18"/>
      <c r="C8" s="19" t="s">
        <v>223</v>
      </c>
      <c r="D8" s="15">
        <v>50</v>
      </c>
      <c r="E8" s="18" t="s">
        <v>224</v>
      </c>
      <c r="F8" s="18"/>
      <c r="G8" s="20">
        <v>0</v>
      </c>
      <c r="H8" s="21">
        <v>1</v>
      </c>
      <c r="I8" s="22">
        <f>D8*G8*H8</f>
        <v>0</v>
      </c>
      <c r="J8" s="15" t="s">
        <v>191</v>
      </c>
      <c r="K8" s="19"/>
    </row>
    <row r="9" spans="1:11" x14ac:dyDescent="0.3">
      <c r="A9" s="18">
        <v>4</v>
      </c>
      <c r="B9" s="18"/>
      <c r="C9" s="19" t="s">
        <v>225</v>
      </c>
      <c r="D9" s="15">
        <v>100</v>
      </c>
      <c r="E9" s="18" t="s">
        <v>226</v>
      </c>
      <c r="F9" s="18"/>
      <c r="G9" s="20">
        <v>0</v>
      </c>
      <c r="H9" s="21">
        <v>1</v>
      </c>
      <c r="I9" s="22">
        <f>D9*G9*H9</f>
        <v>0</v>
      </c>
      <c r="J9" s="15" t="s">
        <v>191</v>
      </c>
      <c r="K9" s="19"/>
    </row>
    <row r="10" spans="1:11" ht="26.4" x14ac:dyDescent="0.3">
      <c r="A10" s="18">
        <v>5</v>
      </c>
      <c r="B10" s="18"/>
      <c r="C10" s="19" t="s">
        <v>227</v>
      </c>
      <c r="D10" s="15">
        <v>35</v>
      </c>
      <c r="E10" s="18" t="s">
        <v>228</v>
      </c>
      <c r="F10" s="18"/>
      <c r="G10" s="20">
        <v>0</v>
      </c>
      <c r="H10" s="21">
        <v>1</v>
      </c>
      <c r="I10" s="22">
        <f t="shared" ref="I10:I11" si="0">D10*G10*H10</f>
        <v>0</v>
      </c>
      <c r="J10" s="15" t="s">
        <v>191</v>
      </c>
      <c r="K10" s="19"/>
    </row>
    <row r="11" spans="1:11" ht="26.4" x14ac:dyDescent="0.3">
      <c r="A11" s="18">
        <v>6</v>
      </c>
      <c r="B11" s="18"/>
      <c r="C11" s="19" t="s">
        <v>229</v>
      </c>
      <c r="D11" s="15">
        <v>10</v>
      </c>
      <c r="E11" s="18" t="s">
        <v>230</v>
      </c>
      <c r="F11" s="18"/>
      <c r="G11" s="20">
        <v>0</v>
      </c>
      <c r="H11" s="21">
        <v>1</v>
      </c>
      <c r="I11" s="22">
        <f t="shared" si="0"/>
        <v>0</v>
      </c>
      <c r="J11" s="15" t="s">
        <v>191</v>
      </c>
      <c r="K11" s="19"/>
    </row>
    <row r="12" spans="1:11" x14ac:dyDescent="0.3">
      <c r="A12" s="23"/>
      <c r="B12" s="54"/>
      <c r="C12" s="54"/>
      <c r="D12" s="23"/>
      <c r="E12" s="23"/>
      <c r="F12" s="23"/>
      <c r="G12" s="23"/>
      <c r="H12" s="23"/>
      <c r="I12" s="24">
        <f>SUM(I6:I11)</f>
        <v>0</v>
      </c>
      <c r="J12" s="23"/>
      <c r="K12" s="23"/>
    </row>
    <row r="13" spans="1:11" x14ac:dyDescent="0.3">
      <c r="A13" s="25"/>
      <c r="B13" s="55"/>
      <c r="C13" s="55"/>
      <c r="D13" s="25"/>
      <c r="E13" s="25"/>
      <c r="F13" s="25"/>
      <c r="G13" s="25"/>
      <c r="H13" s="25"/>
      <c r="I13" s="26">
        <f>MIN(I12,100)</f>
        <v>0</v>
      </c>
      <c r="J13" s="25"/>
      <c r="K13" s="25"/>
    </row>
    <row r="14" spans="1:11" ht="25.5" customHeight="1" x14ac:dyDescent="0.3">
      <c r="B14" s="56" t="s">
        <v>231</v>
      </c>
      <c r="C14" s="56"/>
      <c r="D14" s="56"/>
      <c r="E14" s="56"/>
      <c r="F14" s="56"/>
      <c r="G14" s="56"/>
      <c r="H14" s="56"/>
      <c r="I14" s="56"/>
      <c r="J14" s="56"/>
      <c r="K14" s="56"/>
    </row>
    <row r="16" spans="1:11" ht="18" customHeight="1" x14ac:dyDescent="0.3">
      <c r="A16" s="16"/>
      <c r="B16" s="53" t="s">
        <v>232</v>
      </c>
      <c r="C16" s="53"/>
      <c r="D16" s="16"/>
      <c r="E16" s="16"/>
      <c r="F16" s="17">
        <v>100</v>
      </c>
      <c r="G16" s="16"/>
      <c r="H16" s="16"/>
      <c r="I16" s="16"/>
      <c r="J16" s="16"/>
      <c r="K16" s="16"/>
    </row>
    <row r="17" spans="1:11" x14ac:dyDescent="0.3">
      <c r="A17" s="18">
        <v>7</v>
      </c>
      <c r="B17" s="18"/>
      <c r="C17" s="19" t="s">
        <v>233</v>
      </c>
      <c r="D17" s="15">
        <v>10</v>
      </c>
      <c r="E17" s="18" t="s">
        <v>234</v>
      </c>
      <c r="F17" s="18"/>
      <c r="G17" s="20">
        <v>0</v>
      </c>
      <c r="H17" s="21">
        <v>1</v>
      </c>
      <c r="I17" s="22">
        <f>D17*G17*H17</f>
        <v>0</v>
      </c>
      <c r="J17" s="15" t="s">
        <v>191</v>
      </c>
      <c r="K17" s="19"/>
    </row>
    <row r="18" spans="1:11" x14ac:dyDescent="0.3">
      <c r="A18" s="18">
        <v>8</v>
      </c>
      <c r="B18" s="18"/>
      <c r="C18" s="19" t="s">
        <v>235</v>
      </c>
      <c r="D18" s="15">
        <v>20</v>
      </c>
      <c r="E18" s="18" t="s">
        <v>234</v>
      </c>
      <c r="F18" s="18"/>
      <c r="G18" s="20">
        <v>0</v>
      </c>
      <c r="H18" s="21">
        <v>1</v>
      </c>
      <c r="I18" s="22">
        <f>D18*G18*H18</f>
        <v>0</v>
      </c>
      <c r="J18" s="15" t="s">
        <v>191</v>
      </c>
      <c r="K18" s="19"/>
    </row>
    <row r="19" spans="1:11" x14ac:dyDescent="0.3">
      <c r="A19" s="18">
        <v>9</v>
      </c>
      <c r="B19" s="18"/>
      <c r="C19" s="19" t="s">
        <v>236</v>
      </c>
      <c r="D19" s="15">
        <v>80</v>
      </c>
      <c r="E19" s="18" t="s">
        <v>234</v>
      </c>
      <c r="F19" s="18"/>
      <c r="G19" s="20">
        <v>0</v>
      </c>
      <c r="H19" s="21">
        <v>1</v>
      </c>
      <c r="I19" s="22">
        <f>D19*G19*H19</f>
        <v>0</v>
      </c>
      <c r="J19" s="15" t="s">
        <v>191</v>
      </c>
      <c r="K19" s="19"/>
    </row>
    <row r="20" spans="1:11" x14ac:dyDescent="0.3">
      <c r="A20" s="18">
        <v>10</v>
      </c>
      <c r="B20" s="18"/>
      <c r="C20" s="19" t="s">
        <v>237</v>
      </c>
      <c r="D20" s="15">
        <v>5</v>
      </c>
      <c r="E20" s="18" t="s">
        <v>238</v>
      </c>
      <c r="F20" s="18"/>
      <c r="G20" s="20">
        <v>0</v>
      </c>
      <c r="H20" s="21">
        <v>1</v>
      </c>
      <c r="I20" s="22">
        <f>MIN(D20*G20*H20,F20)</f>
        <v>0</v>
      </c>
      <c r="J20" s="15" t="s">
        <v>191</v>
      </c>
      <c r="K20" s="19"/>
    </row>
    <row r="21" spans="1:11" x14ac:dyDescent="0.3">
      <c r="A21" s="18">
        <v>11</v>
      </c>
      <c r="B21" s="18"/>
      <c r="C21" s="19" t="s">
        <v>239</v>
      </c>
      <c r="D21" s="15">
        <v>10</v>
      </c>
      <c r="E21" s="18" t="s">
        <v>240</v>
      </c>
      <c r="F21" s="18"/>
      <c r="G21" s="20">
        <v>0</v>
      </c>
      <c r="H21" s="21">
        <v>1</v>
      </c>
      <c r="I21" s="22">
        <f>MIN(D21*G21*H21,F21)</f>
        <v>0</v>
      </c>
      <c r="J21" s="15" t="s">
        <v>191</v>
      </c>
      <c r="K21" s="19"/>
    </row>
    <row r="22" spans="1:11" x14ac:dyDescent="0.3">
      <c r="A22" s="18">
        <v>12</v>
      </c>
      <c r="B22" s="18"/>
      <c r="C22" s="19" t="s">
        <v>241</v>
      </c>
      <c r="D22" s="15">
        <v>10</v>
      </c>
      <c r="E22" s="18" t="s">
        <v>197</v>
      </c>
      <c r="F22" s="18"/>
      <c r="G22" s="20">
        <v>0</v>
      </c>
      <c r="H22" s="21">
        <v>1</v>
      </c>
      <c r="I22" s="22">
        <f>D22*G22*H22</f>
        <v>0</v>
      </c>
      <c r="J22" s="15" t="s">
        <v>191</v>
      </c>
      <c r="K22" s="19"/>
    </row>
    <row r="23" spans="1:11" x14ac:dyDescent="0.3">
      <c r="A23" s="18">
        <v>13</v>
      </c>
      <c r="B23" s="18"/>
      <c r="C23" s="19" t="s">
        <v>242</v>
      </c>
      <c r="D23" s="15">
        <v>5</v>
      </c>
      <c r="E23" s="18" t="s">
        <v>197</v>
      </c>
      <c r="F23" s="18"/>
      <c r="G23" s="20">
        <v>0</v>
      </c>
      <c r="H23" s="21">
        <v>1</v>
      </c>
      <c r="I23" s="22">
        <f>D23*G23*H23</f>
        <v>0</v>
      </c>
      <c r="J23" s="15" t="s">
        <v>191</v>
      </c>
      <c r="K23" s="19"/>
    </row>
    <row r="24" spans="1:11" x14ac:dyDescent="0.3">
      <c r="A24" s="18">
        <v>14</v>
      </c>
      <c r="B24" s="18"/>
      <c r="C24" s="19" t="s">
        <v>243</v>
      </c>
      <c r="D24" s="15">
        <v>10</v>
      </c>
      <c r="E24" s="18" t="s">
        <v>244</v>
      </c>
      <c r="F24" s="18"/>
      <c r="G24" s="20">
        <v>0</v>
      </c>
      <c r="H24" s="21">
        <v>1</v>
      </c>
      <c r="I24" s="22">
        <f>D24*G24*H24</f>
        <v>0</v>
      </c>
      <c r="J24" s="15" t="s">
        <v>191</v>
      </c>
      <c r="K24" s="19"/>
    </row>
    <row r="25" spans="1:11" x14ac:dyDescent="0.3">
      <c r="A25" s="18">
        <v>15</v>
      </c>
      <c r="B25" s="18"/>
      <c r="C25" s="19" t="s">
        <v>245</v>
      </c>
      <c r="D25" s="15">
        <v>4</v>
      </c>
      <c r="E25" s="18" t="s">
        <v>244</v>
      </c>
      <c r="F25" s="18"/>
      <c r="G25" s="20">
        <v>0</v>
      </c>
      <c r="H25" s="21">
        <v>1</v>
      </c>
      <c r="I25" s="22">
        <f>D25*G25*H25</f>
        <v>0</v>
      </c>
      <c r="J25" s="15" t="s">
        <v>191</v>
      </c>
      <c r="K25" s="19"/>
    </row>
    <row r="26" spans="1:11" ht="26.4" x14ac:dyDescent="0.3">
      <c r="A26" s="18">
        <v>16</v>
      </c>
      <c r="B26" s="18"/>
      <c r="C26" s="19" t="s">
        <v>246</v>
      </c>
      <c r="D26" s="15">
        <v>10</v>
      </c>
      <c r="E26" s="18" t="s">
        <v>197</v>
      </c>
      <c r="F26" s="18"/>
      <c r="G26" s="20">
        <v>0</v>
      </c>
      <c r="H26" s="21">
        <v>1</v>
      </c>
      <c r="I26" s="22">
        <f>D26*G26*H26</f>
        <v>0</v>
      </c>
      <c r="J26" s="15" t="s">
        <v>191</v>
      </c>
      <c r="K26" s="19"/>
    </row>
    <row r="27" spans="1:11" x14ac:dyDescent="0.3">
      <c r="A27" s="23"/>
      <c r="B27" s="54"/>
      <c r="C27" s="54"/>
      <c r="D27" s="23"/>
      <c r="E27" s="23"/>
      <c r="F27" s="23"/>
      <c r="G27" s="23"/>
      <c r="H27" s="23"/>
      <c r="I27" s="24">
        <f>SUM(I17:I26)</f>
        <v>0</v>
      </c>
      <c r="J27" s="23"/>
      <c r="K27" s="23"/>
    </row>
    <row r="28" spans="1:11" x14ac:dyDescent="0.3">
      <c r="A28" s="25"/>
      <c r="B28" s="55"/>
      <c r="C28" s="55"/>
      <c r="D28" s="25"/>
      <c r="E28" s="25"/>
      <c r="F28" s="25"/>
      <c r="G28" s="25"/>
      <c r="H28" s="25"/>
      <c r="I28" s="26">
        <f>MIN(I27,100)</f>
        <v>0</v>
      </c>
      <c r="J28" s="25"/>
      <c r="K28" s="25"/>
    </row>
    <row r="29" spans="1:11" ht="25.5" customHeight="1" x14ac:dyDescent="0.3">
      <c r="B29" s="56" t="s">
        <v>247</v>
      </c>
      <c r="C29" s="56"/>
      <c r="D29" s="56"/>
      <c r="E29" s="56"/>
      <c r="F29" s="56"/>
      <c r="G29" s="56"/>
      <c r="H29" s="56"/>
      <c r="I29" s="56"/>
      <c r="J29" s="56"/>
      <c r="K29" s="56"/>
    </row>
    <row r="31" spans="1:11" ht="18" customHeight="1" x14ac:dyDescent="0.3">
      <c r="A31" s="16"/>
      <c r="B31" s="53" t="s">
        <v>248</v>
      </c>
      <c r="C31" s="53"/>
      <c r="D31" s="16"/>
      <c r="E31" s="16"/>
      <c r="F31" s="17">
        <v>100</v>
      </c>
      <c r="G31" s="16"/>
      <c r="H31" s="16"/>
      <c r="I31" s="16"/>
      <c r="J31" s="16"/>
      <c r="K31" s="16"/>
    </row>
    <row r="32" spans="1:11" ht="26.4" x14ac:dyDescent="0.3">
      <c r="A32" s="18">
        <v>17</v>
      </c>
      <c r="B32" s="18"/>
      <c r="C32" s="19" t="s">
        <v>249</v>
      </c>
      <c r="D32" s="15">
        <v>20</v>
      </c>
      <c r="E32" s="18" t="s">
        <v>250</v>
      </c>
      <c r="F32" s="18"/>
      <c r="G32" s="20">
        <v>0</v>
      </c>
      <c r="H32" s="21">
        <v>1</v>
      </c>
      <c r="I32" s="22">
        <f t="shared" ref="I32:I49" si="1">D32*G32*H32</f>
        <v>0</v>
      </c>
      <c r="J32" s="15" t="s">
        <v>191</v>
      </c>
      <c r="K32" s="19"/>
    </row>
    <row r="33" spans="1:11" x14ac:dyDescent="0.3">
      <c r="A33" s="18">
        <v>18</v>
      </c>
      <c r="B33" s="18"/>
      <c r="C33" s="19" t="s">
        <v>251</v>
      </c>
      <c r="D33" s="15">
        <v>20</v>
      </c>
      <c r="E33" s="18" t="s">
        <v>250</v>
      </c>
      <c r="F33" s="18"/>
      <c r="G33" s="20">
        <v>0</v>
      </c>
      <c r="H33" s="21">
        <v>1</v>
      </c>
      <c r="I33" s="22">
        <f t="shared" si="1"/>
        <v>0</v>
      </c>
      <c r="J33" s="15" t="s">
        <v>191</v>
      </c>
      <c r="K33" s="19"/>
    </row>
    <row r="34" spans="1:11" x14ac:dyDescent="0.3">
      <c r="A34" s="18">
        <v>19</v>
      </c>
      <c r="B34" s="18"/>
      <c r="C34" s="19" t="s">
        <v>252</v>
      </c>
      <c r="D34" s="15">
        <v>10</v>
      </c>
      <c r="E34" s="18" t="s">
        <v>253</v>
      </c>
      <c r="F34" s="18"/>
      <c r="G34" s="20">
        <v>0</v>
      </c>
      <c r="H34" s="21">
        <v>1</v>
      </c>
      <c r="I34" s="22">
        <f t="shared" si="1"/>
        <v>0</v>
      </c>
      <c r="J34" s="15" t="s">
        <v>191</v>
      </c>
      <c r="K34" s="19"/>
    </row>
    <row r="35" spans="1:11" x14ac:dyDescent="0.3">
      <c r="A35" s="18">
        <v>20</v>
      </c>
      <c r="B35" s="18"/>
      <c r="C35" s="19" t="s">
        <v>254</v>
      </c>
      <c r="D35" s="15">
        <v>10</v>
      </c>
      <c r="E35" s="18" t="s">
        <v>253</v>
      </c>
      <c r="F35" s="18"/>
      <c r="G35" s="20">
        <v>0</v>
      </c>
      <c r="H35" s="21">
        <v>1</v>
      </c>
      <c r="I35" s="22">
        <f t="shared" si="1"/>
        <v>0</v>
      </c>
      <c r="J35" s="15" t="s">
        <v>191</v>
      </c>
      <c r="K35" s="19"/>
    </row>
    <row r="36" spans="1:11" x14ac:dyDescent="0.3">
      <c r="A36" s="18">
        <v>21</v>
      </c>
      <c r="B36" s="18"/>
      <c r="C36" s="19" t="s">
        <v>255</v>
      </c>
      <c r="D36" s="15">
        <v>20</v>
      </c>
      <c r="E36" s="18" t="s">
        <v>250</v>
      </c>
      <c r="F36" s="18"/>
      <c r="G36" s="20">
        <v>0</v>
      </c>
      <c r="H36" s="21">
        <v>1</v>
      </c>
      <c r="I36" s="22">
        <f t="shared" si="1"/>
        <v>0</v>
      </c>
      <c r="J36" s="15" t="s">
        <v>191</v>
      </c>
      <c r="K36" s="19"/>
    </row>
    <row r="37" spans="1:11" x14ac:dyDescent="0.3">
      <c r="A37" s="18">
        <v>22</v>
      </c>
      <c r="B37" s="18"/>
      <c r="C37" s="19" t="s">
        <v>256</v>
      </c>
      <c r="D37" s="15">
        <v>20</v>
      </c>
      <c r="E37" s="18" t="s">
        <v>250</v>
      </c>
      <c r="F37" s="18"/>
      <c r="G37" s="20">
        <v>0</v>
      </c>
      <c r="H37" s="21">
        <v>1</v>
      </c>
      <c r="I37" s="22">
        <f t="shared" si="1"/>
        <v>0</v>
      </c>
      <c r="J37" s="15" t="s">
        <v>191</v>
      </c>
      <c r="K37" s="19"/>
    </row>
    <row r="38" spans="1:11" x14ac:dyDescent="0.3">
      <c r="A38" s="18">
        <v>23</v>
      </c>
      <c r="B38" s="18"/>
      <c r="C38" s="19" t="s">
        <v>257</v>
      </c>
      <c r="D38" s="15">
        <v>10</v>
      </c>
      <c r="E38" s="18" t="s">
        <v>253</v>
      </c>
      <c r="F38" s="18"/>
      <c r="G38" s="20">
        <v>0</v>
      </c>
      <c r="H38" s="21">
        <v>1</v>
      </c>
      <c r="I38" s="22">
        <f t="shared" si="1"/>
        <v>0</v>
      </c>
      <c r="J38" s="15" t="s">
        <v>191</v>
      </c>
      <c r="K38" s="19"/>
    </row>
    <row r="39" spans="1:11" x14ac:dyDescent="0.3">
      <c r="A39" s="18">
        <v>24</v>
      </c>
      <c r="B39" s="18"/>
      <c r="C39" s="19" t="s">
        <v>258</v>
      </c>
      <c r="D39" s="15">
        <v>20</v>
      </c>
      <c r="E39" s="18" t="s">
        <v>250</v>
      </c>
      <c r="F39" s="18"/>
      <c r="G39" s="20">
        <v>0</v>
      </c>
      <c r="H39" s="21">
        <v>1</v>
      </c>
      <c r="I39" s="22">
        <f t="shared" si="1"/>
        <v>0</v>
      </c>
      <c r="J39" s="15" t="s">
        <v>191</v>
      </c>
      <c r="K39" s="19"/>
    </row>
    <row r="40" spans="1:11" x14ac:dyDescent="0.3">
      <c r="A40" s="18">
        <v>25</v>
      </c>
      <c r="B40" s="18"/>
      <c r="C40" s="19" t="s">
        <v>259</v>
      </c>
      <c r="D40" s="15">
        <v>20</v>
      </c>
      <c r="E40" s="18" t="s">
        <v>260</v>
      </c>
      <c r="F40" s="18"/>
      <c r="G40" s="20">
        <v>0</v>
      </c>
      <c r="H40" s="21">
        <v>1</v>
      </c>
      <c r="I40" s="22">
        <f t="shared" si="1"/>
        <v>0</v>
      </c>
      <c r="J40" s="15" t="s">
        <v>191</v>
      </c>
      <c r="K40" s="19"/>
    </row>
    <row r="41" spans="1:11" x14ac:dyDescent="0.3">
      <c r="A41" s="18">
        <v>26</v>
      </c>
      <c r="B41" s="18"/>
      <c r="C41" s="19" t="s">
        <v>261</v>
      </c>
      <c r="D41" s="15">
        <v>20</v>
      </c>
      <c r="E41" s="18" t="s">
        <v>260</v>
      </c>
      <c r="F41" s="18"/>
      <c r="G41" s="20">
        <v>0</v>
      </c>
      <c r="H41" s="21">
        <v>1</v>
      </c>
      <c r="I41" s="22">
        <f t="shared" si="1"/>
        <v>0</v>
      </c>
      <c r="J41" s="15" t="s">
        <v>191</v>
      </c>
      <c r="K41" s="19"/>
    </row>
    <row r="42" spans="1:11" x14ac:dyDescent="0.3">
      <c r="A42" s="18">
        <v>27</v>
      </c>
      <c r="B42" s="18"/>
      <c r="C42" s="19" t="s">
        <v>262</v>
      </c>
      <c r="D42" s="15">
        <v>20</v>
      </c>
      <c r="E42" s="18" t="s">
        <v>260</v>
      </c>
      <c r="F42" s="18"/>
      <c r="G42" s="20">
        <v>0</v>
      </c>
      <c r="H42" s="21">
        <v>1</v>
      </c>
      <c r="I42" s="22">
        <f t="shared" si="1"/>
        <v>0</v>
      </c>
      <c r="J42" s="15" t="s">
        <v>191</v>
      </c>
      <c r="K42" s="19"/>
    </row>
    <row r="43" spans="1:11" ht="26.4" x14ac:dyDescent="0.3">
      <c r="A43" s="18">
        <v>28</v>
      </c>
      <c r="B43" s="18"/>
      <c r="C43" s="19" t="s">
        <v>263</v>
      </c>
      <c r="D43" s="15">
        <v>20</v>
      </c>
      <c r="E43" s="18" t="s">
        <v>264</v>
      </c>
      <c r="F43" s="18"/>
      <c r="G43" s="20">
        <v>0</v>
      </c>
      <c r="H43" s="21">
        <v>1</v>
      </c>
      <c r="I43" s="22">
        <f t="shared" si="1"/>
        <v>0</v>
      </c>
      <c r="J43" s="15" t="s">
        <v>191</v>
      </c>
      <c r="K43" s="19"/>
    </row>
    <row r="44" spans="1:11" ht="26.4" x14ac:dyDescent="0.3">
      <c r="A44" s="18">
        <v>29</v>
      </c>
      <c r="B44" s="18"/>
      <c r="C44" s="19" t="s">
        <v>265</v>
      </c>
      <c r="D44" s="15">
        <v>20</v>
      </c>
      <c r="E44" s="18" t="s">
        <v>250</v>
      </c>
      <c r="F44" s="18"/>
      <c r="G44" s="20">
        <v>0</v>
      </c>
      <c r="H44" s="21">
        <v>1</v>
      </c>
      <c r="I44" s="22">
        <f t="shared" si="1"/>
        <v>0</v>
      </c>
      <c r="J44" s="15" t="s">
        <v>191</v>
      </c>
      <c r="K44" s="19"/>
    </row>
    <row r="45" spans="1:11" ht="26.4" x14ac:dyDescent="0.3">
      <c r="A45" s="18">
        <v>30</v>
      </c>
      <c r="B45" s="18"/>
      <c r="C45" s="19" t="s">
        <v>266</v>
      </c>
      <c r="D45" s="15">
        <v>20</v>
      </c>
      <c r="E45" s="18" t="s">
        <v>267</v>
      </c>
      <c r="F45" s="18"/>
      <c r="G45" s="20">
        <v>0</v>
      </c>
      <c r="H45" s="21">
        <v>1</v>
      </c>
      <c r="I45" s="22">
        <f t="shared" si="1"/>
        <v>0</v>
      </c>
      <c r="J45" s="15" t="s">
        <v>191</v>
      </c>
      <c r="K45" s="19"/>
    </row>
    <row r="46" spans="1:11" x14ac:dyDescent="0.3">
      <c r="A46" s="18">
        <v>31</v>
      </c>
      <c r="B46" s="18"/>
      <c r="C46" s="19" t="s">
        <v>268</v>
      </c>
      <c r="D46" s="15">
        <v>20</v>
      </c>
      <c r="E46" s="18" t="s">
        <v>269</v>
      </c>
      <c r="F46" s="18"/>
      <c r="G46" s="20">
        <v>0</v>
      </c>
      <c r="H46" s="21">
        <v>1</v>
      </c>
      <c r="I46" s="22">
        <f t="shared" si="1"/>
        <v>0</v>
      </c>
      <c r="J46" s="15" t="s">
        <v>191</v>
      </c>
      <c r="K46" s="19"/>
    </row>
    <row r="47" spans="1:11" x14ac:dyDescent="0.3">
      <c r="A47" s="18">
        <v>32</v>
      </c>
      <c r="B47" s="18"/>
      <c r="C47" s="19" t="s">
        <v>270</v>
      </c>
      <c r="D47" s="15">
        <v>10</v>
      </c>
      <c r="E47" s="18" t="s">
        <v>271</v>
      </c>
      <c r="F47" s="18"/>
      <c r="G47" s="20">
        <v>0</v>
      </c>
      <c r="H47" s="21">
        <v>1</v>
      </c>
      <c r="I47" s="22">
        <f t="shared" si="1"/>
        <v>0</v>
      </c>
      <c r="J47" s="15" t="s">
        <v>191</v>
      </c>
      <c r="K47" s="19"/>
    </row>
    <row r="48" spans="1:11" x14ac:dyDescent="0.3">
      <c r="A48" s="18">
        <v>33</v>
      </c>
      <c r="B48" s="18"/>
      <c r="C48" s="19" t="s">
        <v>272</v>
      </c>
      <c r="D48" s="15">
        <v>2</v>
      </c>
      <c r="E48" s="18" t="s">
        <v>273</v>
      </c>
      <c r="F48" s="18"/>
      <c r="G48" s="20">
        <v>0</v>
      </c>
      <c r="H48" s="21">
        <v>1</v>
      </c>
      <c r="I48" s="22">
        <f t="shared" si="1"/>
        <v>0</v>
      </c>
      <c r="J48" s="15" t="s">
        <v>191</v>
      </c>
      <c r="K48" s="19"/>
    </row>
    <row r="49" spans="1:11" x14ac:dyDescent="0.3">
      <c r="A49" s="18">
        <v>34</v>
      </c>
      <c r="B49" s="18"/>
      <c r="C49" s="19" t="s">
        <v>274</v>
      </c>
      <c r="D49" s="15">
        <v>2</v>
      </c>
      <c r="E49" s="18" t="s">
        <v>275</v>
      </c>
      <c r="F49" s="18"/>
      <c r="G49" s="20">
        <v>0</v>
      </c>
      <c r="H49" s="21">
        <v>1</v>
      </c>
      <c r="I49" s="22">
        <f t="shared" si="1"/>
        <v>0</v>
      </c>
      <c r="J49" s="15" t="s">
        <v>191</v>
      </c>
      <c r="K49" s="19"/>
    </row>
    <row r="50" spans="1:11" x14ac:dyDescent="0.3">
      <c r="A50" s="23"/>
      <c r="B50" s="54"/>
      <c r="C50" s="54"/>
      <c r="D50" s="23"/>
      <c r="E50" s="23"/>
      <c r="F50" s="23"/>
      <c r="G50" s="23"/>
      <c r="H50" s="23"/>
      <c r="I50" s="24">
        <f>SUM(I32:I49)</f>
        <v>0</v>
      </c>
      <c r="J50" s="23"/>
      <c r="K50" s="23"/>
    </row>
    <row r="51" spans="1:11" x14ac:dyDescent="0.3">
      <c r="A51" s="25"/>
      <c r="B51" s="55"/>
      <c r="C51" s="55"/>
      <c r="D51" s="25"/>
      <c r="E51" s="25"/>
      <c r="F51" s="25"/>
      <c r="G51" s="25"/>
      <c r="H51" s="25"/>
      <c r="I51" s="26">
        <f>MIN(I50,100)</f>
        <v>0</v>
      </c>
      <c r="J51" s="25"/>
      <c r="K51" s="25"/>
    </row>
    <row r="52" spans="1:11" ht="25.5" customHeight="1" x14ac:dyDescent="0.3">
      <c r="B52" s="56" t="s">
        <v>276</v>
      </c>
      <c r="C52" s="56"/>
      <c r="D52" s="56"/>
      <c r="E52" s="56"/>
      <c r="F52" s="56"/>
      <c r="G52" s="56"/>
      <c r="H52" s="56"/>
      <c r="I52" s="56"/>
      <c r="J52" s="56"/>
      <c r="K52" s="56"/>
    </row>
    <row r="55" spans="1:11" x14ac:dyDescent="0.3">
      <c r="A55" s="23"/>
      <c r="B55" s="54"/>
      <c r="C55" s="54"/>
      <c r="D55" s="23"/>
      <c r="E55" s="23"/>
      <c r="F55" s="23"/>
      <c r="G55" s="23"/>
      <c r="H55" s="23"/>
      <c r="I55" s="27">
        <f>I13+I28+I51</f>
        <v>0</v>
      </c>
      <c r="J55" s="23"/>
      <c r="K55" s="23"/>
    </row>
    <row r="56" spans="1:11" ht="15.6" x14ac:dyDescent="0.3">
      <c r="A56" s="28"/>
      <c r="B56" s="52"/>
      <c r="C56" s="52"/>
      <c r="D56" s="28"/>
      <c r="E56" s="28"/>
      <c r="F56" s="28"/>
      <c r="G56" s="28"/>
      <c r="H56" s="28"/>
      <c r="I56" s="29">
        <f>MIN(I55,100)</f>
        <v>0</v>
      </c>
      <c r="J56" s="28"/>
      <c r="K56" s="28"/>
    </row>
  </sheetData>
  <mergeCells count="16">
    <mergeCell ref="A1:K1"/>
    <mergeCell ref="A2:K2"/>
    <mergeCell ref="B5:C5"/>
    <mergeCell ref="B12:C12"/>
    <mergeCell ref="B13:C13"/>
    <mergeCell ref="B14:K14"/>
    <mergeCell ref="B16:C16"/>
    <mergeCell ref="B27:C27"/>
    <mergeCell ref="B28:C28"/>
    <mergeCell ref="B29:K29"/>
    <mergeCell ref="B56:C56"/>
    <mergeCell ref="B31:C31"/>
    <mergeCell ref="B50:C50"/>
    <mergeCell ref="B51:C51"/>
    <mergeCell ref="B52:K52"/>
    <mergeCell ref="B55:C55"/>
  </mergeCells>
  <dataValidations count="2">
    <dataValidation type="decimal" allowBlank="1" error="Enter a share between 0% and 100%." sqref="H5:H56" xr:uid="{00000000-0002-0000-0400-000000000000}">
      <formula1>0</formula1>
      <formula2>1</formula2>
    </dataValidation>
    <dataValidation type="list" allowBlank="1" sqref="J5:J56" xr:uid="{00000000-0002-0000-0400-000001000000}">
      <formula1>"Not Started,In Progress,Evidence Complete,Submitted,Verified"</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3"/>
  <sheetViews>
    <sheetView showGridLines="0" zoomScaleNormal="100" workbookViewId="0">
      <pane ySplit="4" topLeftCell="A5" activePane="bottomLeft" state="frozen"/>
      <selection pane="bottomLeft" activeCell="G56" sqref="G56"/>
    </sheetView>
  </sheetViews>
  <sheetFormatPr defaultColWidth="8.6640625" defaultRowHeight="14.4" x14ac:dyDescent="0.3"/>
  <cols>
    <col min="1" max="1" width="5" customWidth="1"/>
    <col min="2" max="2" width="34" customWidth="1"/>
    <col min="3" max="3" width="48" customWidth="1"/>
    <col min="4" max="4" width="12" customWidth="1"/>
    <col min="5" max="5" width="20" customWidth="1"/>
    <col min="6" max="6" width="14" customWidth="1"/>
    <col min="7" max="7" width="12" customWidth="1"/>
    <col min="8" max="9" width="13" customWidth="1"/>
    <col min="10" max="10" width="16" customWidth="1"/>
    <col min="11" max="11" width="40" customWidth="1"/>
  </cols>
  <sheetData>
    <row r="1" spans="1:11" ht="25.5" customHeight="1" x14ac:dyDescent="0.3">
      <c r="A1" s="57" t="s">
        <v>277</v>
      </c>
      <c r="B1" s="57"/>
      <c r="C1" s="57"/>
      <c r="D1" s="57"/>
      <c r="E1" s="57"/>
      <c r="F1" s="57"/>
      <c r="G1" s="57"/>
      <c r="H1" s="57"/>
      <c r="I1" s="57"/>
      <c r="J1" s="57"/>
      <c r="K1" s="57"/>
    </row>
    <row r="2" spans="1:11" ht="13.5" customHeight="1" x14ac:dyDescent="0.3">
      <c r="A2" s="58" t="s">
        <v>177</v>
      </c>
      <c r="B2" s="58"/>
      <c r="C2" s="58"/>
      <c r="D2" s="58"/>
      <c r="E2" s="58"/>
      <c r="F2" s="58"/>
      <c r="G2" s="58"/>
      <c r="H2" s="58"/>
      <c r="I2" s="58"/>
      <c r="J2" s="58"/>
      <c r="K2" s="58"/>
    </row>
    <row r="4" spans="1:11" ht="30" customHeight="1" x14ac:dyDescent="0.3">
      <c r="A4" s="4" t="s">
        <v>178</v>
      </c>
      <c r="B4" s="4" t="s">
        <v>179</v>
      </c>
      <c r="C4" s="4" t="s">
        <v>180</v>
      </c>
      <c r="D4" s="4" t="s">
        <v>181</v>
      </c>
      <c r="E4" s="4" t="s">
        <v>182</v>
      </c>
      <c r="F4" s="4" t="s">
        <v>183</v>
      </c>
      <c r="G4" s="4" t="s">
        <v>184</v>
      </c>
      <c r="H4" s="4" t="s">
        <v>185</v>
      </c>
      <c r="I4" s="4" t="s">
        <v>62</v>
      </c>
      <c r="J4" s="4" t="s">
        <v>186</v>
      </c>
      <c r="K4" s="4" t="s">
        <v>187</v>
      </c>
    </row>
    <row r="5" spans="1:11" ht="18" customHeight="1" x14ac:dyDescent="0.3">
      <c r="A5" s="16"/>
      <c r="B5" s="53" t="s">
        <v>278</v>
      </c>
      <c r="C5" s="53"/>
      <c r="D5" s="16"/>
      <c r="E5" s="16"/>
      <c r="F5" s="17">
        <v>30</v>
      </c>
      <c r="G5" s="16"/>
      <c r="H5" s="16"/>
      <c r="I5" s="16"/>
      <c r="J5" s="16"/>
      <c r="K5" s="16"/>
    </row>
    <row r="6" spans="1:11" x14ac:dyDescent="0.3">
      <c r="A6" s="18">
        <v>1</v>
      </c>
      <c r="B6" s="18"/>
      <c r="C6" s="19" t="s">
        <v>279</v>
      </c>
      <c r="D6" s="15">
        <v>5</v>
      </c>
      <c r="E6" s="18" t="s">
        <v>280</v>
      </c>
      <c r="F6" s="18"/>
      <c r="G6" s="20">
        <v>0</v>
      </c>
      <c r="H6" s="21">
        <v>1</v>
      </c>
      <c r="I6" s="22">
        <f t="shared" ref="I6:I16" si="0">D6*G6*H6</f>
        <v>0</v>
      </c>
      <c r="J6" s="15" t="s">
        <v>191</v>
      </c>
      <c r="K6" s="19"/>
    </row>
    <row r="7" spans="1:11" x14ac:dyDescent="0.3">
      <c r="A7" s="18">
        <v>2</v>
      </c>
      <c r="B7" s="18"/>
      <c r="C7" s="19" t="s">
        <v>281</v>
      </c>
      <c r="D7" s="15">
        <v>2</v>
      </c>
      <c r="E7" s="18" t="s">
        <v>282</v>
      </c>
      <c r="F7" s="18"/>
      <c r="G7" s="20">
        <v>0</v>
      </c>
      <c r="H7" s="21">
        <v>1</v>
      </c>
      <c r="I7" s="22">
        <f t="shared" si="0"/>
        <v>0</v>
      </c>
      <c r="J7" s="15" t="s">
        <v>191</v>
      </c>
      <c r="K7" s="19"/>
    </row>
    <row r="8" spans="1:11" x14ac:dyDescent="0.3">
      <c r="A8" s="18">
        <v>3</v>
      </c>
      <c r="B8" s="18"/>
      <c r="C8" s="19" t="s">
        <v>283</v>
      </c>
      <c r="D8" s="15">
        <v>4</v>
      </c>
      <c r="E8" s="18" t="s">
        <v>282</v>
      </c>
      <c r="F8" s="18"/>
      <c r="G8" s="20">
        <v>0</v>
      </c>
      <c r="H8" s="21">
        <v>1</v>
      </c>
      <c r="I8" s="22">
        <f t="shared" si="0"/>
        <v>0</v>
      </c>
      <c r="J8" s="15" t="s">
        <v>191</v>
      </c>
      <c r="K8" s="19"/>
    </row>
    <row r="9" spans="1:11" x14ac:dyDescent="0.3">
      <c r="A9" s="18">
        <v>4</v>
      </c>
      <c r="B9" s="18"/>
      <c r="C9" s="19" t="s">
        <v>284</v>
      </c>
      <c r="D9" s="15">
        <v>6</v>
      </c>
      <c r="E9" s="18" t="s">
        <v>282</v>
      </c>
      <c r="F9" s="18"/>
      <c r="G9" s="20">
        <v>0</v>
      </c>
      <c r="H9" s="21">
        <v>1</v>
      </c>
      <c r="I9" s="22">
        <f t="shared" si="0"/>
        <v>0</v>
      </c>
      <c r="J9" s="15" t="s">
        <v>191</v>
      </c>
      <c r="K9" s="19"/>
    </row>
    <row r="10" spans="1:11" ht="26.4" x14ac:dyDescent="0.3">
      <c r="A10" s="18">
        <v>5</v>
      </c>
      <c r="B10" s="18"/>
      <c r="C10" s="19" t="s">
        <v>285</v>
      </c>
      <c r="D10" s="15">
        <v>12</v>
      </c>
      <c r="E10" s="18" t="s">
        <v>282</v>
      </c>
      <c r="F10" s="18"/>
      <c r="G10" s="20">
        <v>0</v>
      </c>
      <c r="H10" s="21">
        <v>1</v>
      </c>
      <c r="I10" s="22">
        <f t="shared" si="0"/>
        <v>0</v>
      </c>
      <c r="J10" s="15" t="s">
        <v>191</v>
      </c>
      <c r="K10" s="19"/>
    </row>
    <row r="11" spans="1:11" x14ac:dyDescent="0.3">
      <c r="A11" s="18">
        <v>6</v>
      </c>
      <c r="B11" s="18"/>
      <c r="C11" s="19" t="s">
        <v>286</v>
      </c>
      <c r="D11" s="15">
        <v>18</v>
      </c>
      <c r="E11" s="18" t="s">
        <v>282</v>
      </c>
      <c r="F11" s="18"/>
      <c r="G11" s="20">
        <v>0</v>
      </c>
      <c r="H11" s="21">
        <v>1</v>
      </c>
      <c r="I11" s="22">
        <f t="shared" si="0"/>
        <v>0</v>
      </c>
      <c r="J11" s="15" t="s">
        <v>191</v>
      </c>
      <c r="K11" s="19"/>
    </row>
    <row r="12" spans="1:11" ht="26.4" x14ac:dyDescent="0.3">
      <c r="A12" s="18">
        <v>7</v>
      </c>
      <c r="B12" s="18"/>
      <c r="C12" s="19" t="s">
        <v>287</v>
      </c>
      <c r="D12" s="15">
        <v>1</v>
      </c>
      <c r="E12" s="18" t="s">
        <v>282</v>
      </c>
      <c r="F12" s="18"/>
      <c r="G12" s="20">
        <v>0</v>
      </c>
      <c r="H12" s="21">
        <v>1</v>
      </c>
      <c r="I12" s="22">
        <f t="shared" si="0"/>
        <v>0</v>
      </c>
      <c r="J12" s="15" t="s">
        <v>191</v>
      </c>
      <c r="K12" s="19"/>
    </row>
    <row r="13" spans="1:11" ht="26.4" x14ac:dyDescent="0.3">
      <c r="A13" s="18">
        <v>8</v>
      </c>
      <c r="B13" s="18"/>
      <c r="C13" s="19" t="s">
        <v>288</v>
      </c>
      <c r="D13" s="15">
        <v>2</v>
      </c>
      <c r="E13" s="18" t="s">
        <v>282</v>
      </c>
      <c r="F13" s="18"/>
      <c r="G13" s="20">
        <v>0</v>
      </c>
      <c r="H13" s="21">
        <v>1</v>
      </c>
      <c r="I13" s="22">
        <f t="shared" si="0"/>
        <v>0</v>
      </c>
      <c r="J13" s="15" t="s">
        <v>191</v>
      </c>
      <c r="K13" s="19"/>
    </row>
    <row r="14" spans="1:11" ht="26.4" x14ac:dyDescent="0.3">
      <c r="A14" s="18">
        <v>9</v>
      </c>
      <c r="B14" s="18"/>
      <c r="C14" s="19" t="s">
        <v>289</v>
      </c>
      <c r="D14" s="15">
        <v>3</v>
      </c>
      <c r="E14" s="18" t="s">
        <v>282</v>
      </c>
      <c r="F14" s="18"/>
      <c r="G14" s="20">
        <v>0</v>
      </c>
      <c r="H14" s="21">
        <v>1</v>
      </c>
      <c r="I14" s="22">
        <f t="shared" si="0"/>
        <v>0</v>
      </c>
      <c r="J14" s="15" t="s">
        <v>191</v>
      </c>
      <c r="K14" s="19"/>
    </row>
    <row r="15" spans="1:11" ht="26.4" x14ac:dyDescent="0.3">
      <c r="A15" s="18">
        <v>10</v>
      </c>
      <c r="B15" s="18"/>
      <c r="C15" s="19" t="s">
        <v>290</v>
      </c>
      <c r="D15" s="15">
        <v>6</v>
      </c>
      <c r="E15" s="18" t="s">
        <v>282</v>
      </c>
      <c r="F15" s="18"/>
      <c r="G15" s="20">
        <v>0</v>
      </c>
      <c r="H15" s="21">
        <v>1</v>
      </c>
      <c r="I15" s="22">
        <f t="shared" si="0"/>
        <v>0</v>
      </c>
      <c r="J15" s="15" t="s">
        <v>191</v>
      </c>
      <c r="K15" s="19"/>
    </row>
    <row r="16" spans="1:11" ht="26.4" x14ac:dyDescent="0.3">
      <c r="A16" s="18">
        <v>11</v>
      </c>
      <c r="B16" s="18"/>
      <c r="C16" s="19" t="s">
        <v>291</v>
      </c>
      <c r="D16" s="15">
        <v>9</v>
      </c>
      <c r="E16" s="18" t="s">
        <v>282</v>
      </c>
      <c r="F16" s="18"/>
      <c r="G16" s="20">
        <v>0</v>
      </c>
      <c r="H16" s="21">
        <v>1</v>
      </c>
      <c r="I16" s="22">
        <f t="shared" si="0"/>
        <v>0</v>
      </c>
      <c r="J16" s="15" t="s">
        <v>191</v>
      </c>
      <c r="K16" s="19"/>
    </row>
    <row r="17" spans="1:11" x14ac:dyDescent="0.3">
      <c r="A17" s="23"/>
      <c r="B17" s="54"/>
      <c r="C17" s="54"/>
      <c r="D17" s="23"/>
      <c r="E17" s="23"/>
      <c r="F17" s="23"/>
      <c r="G17" s="23"/>
      <c r="H17" s="23"/>
      <c r="I17" s="24">
        <f>SUM(I6:I16)</f>
        <v>0</v>
      </c>
      <c r="J17" s="23"/>
      <c r="K17" s="23"/>
    </row>
    <row r="18" spans="1:11" x14ac:dyDescent="0.3">
      <c r="A18" s="25"/>
      <c r="B18" s="55"/>
      <c r="C18" s="55"/>
      <c r="D18" s="25"/>
      <c r="E18" s="25"/>
      <c r="F18" s="25"/>
      <c r="G18" s="25"/>
      <c r="H18" s="25"/>
      <c r="I18" s="26">
        <f>MIN(I17,30)</f>
        <v>0</v>
      </c>
      <c r="J18" s="25"/>
      <c r="K18" s="25"/>
    </row>
    <row r="19" spans="1:11" ht="25.5" customHeight="1" x14ac:dyDescent="0.3">
      <c r="B19" s="56" t="s">
        <v>292</v>
      </c>
      <c r="C19" s="56"/>
      <c r="D19" s="56"/>
      <c r="E19" s="56"/>
      <c r="F19" s="56"/>
      <c r="G19" s="56"/>
      <c r="H19" s="56"/>
      <c r="I19" s="56"/>
      <c r="J19" s="56"/>
      <c r="K19" s="56"/>
    </row>
    <row r="21" spans="1:11" ht="18" customHeight="1" x14ac:dyDescent="0.3">
      <c r="A21" s="16"/>
      <c r="B21" s="53" t="s">
        <v>293</v>
      </c>
      <c r="C21" s="53"/>
      <c r="D21" s="16"/>
      <c r="E21" s="16"/>
      <c r="F21" s="17">
        <v>50</v>
      </c>
      <c r="G21" s="16"/>
      <c r="H21" s="16"/>
      <c r="I21" s="16"/>
      <c r="J21" s="16"/>
      <c r="K21" s="16"/>
    </row>
    <row r="22" spans="1:11" ht="26.4" x14ac:dyDescent="0.3">
      <c r="A22" s="18">
        <v>12</v>
      </c>
      <c r="B22" s="18"/>
      <c r="C22" s="19" t="s">
        <v>294</v>
      </c>
      <c r="D22" s="15">
        <v>8</v>
      </c>
      <c r="E22" s="18" t="s">
        <v>295</v>
      </c>
      <c r="F22" s="18"/>
      <c r="G22" s="20">
        <v>0</v>
      </c>
      <c r="H22" s="21">
        <v>1</v>
      </c>
      <c r="I22" s="22">
        <f t="shared" ref="I22:I35" si="1">D22*G22*H22</f>
        <v>0</v>
      </c>
      <c r="J22" s="15" t="s">
        <v>191</v>
      </c>
      <c r="K22" s="19"/>
    </row>
    <row r="23" spans="1:11" ht="26.4" x14ac:dyDescent="0.3">
      <c r="A23" s="18">
        <v>13</v>
      </c>
      <c r="B23" s="18"/>
      <c r="C23" s="19" t="s">
        <v>296</v>
      </c>
      <c r="D23" s="15">
        <v>10</v>
      </c>
      <c r="E23" s="18" t="s">
        <v>295</v>
      </c>
      <c r="F23" s="18"/>
      <c r="G23" s="20">
        <v>0</v>
      </c>
      <c r="H23" s="21">
        <v>1</v>
      </c>
      <c r="I23" s="22">
        <f t="shared" si="1"/>
        <v>0</v>
      </c>
      <c r="J23" s="15" t="s">
        <v>191</v>
      </c>
      <c r="K23" s="19"/>
    </row>
    <row r="24" spans="1:11" x14ac:dyDescent="0.3">
      <c r="A24" s="18">
        <v>14</v>
      </c>
      <c r="B24" s="18"/>
      <c r="C24" s="19" t="s">
        <v>297</v>
      </c>
      <c r="D24" s="15">
        <v>2</v>
      </c>
      <c r="E24" s="18" t="s">
        <v>295</v>
      </c>
      <c r="F24" s="18"/>
      <c r="G24" s="20">
        <v>0</v>
      </c>
      <c r="H24" s="21">
        <v>1</v>
      </c>
      <c r="I24" s="22">
        <f t="shared" si="1"/>
        <v>0</v>
      </c>
      <c r="J24" s="15" t="s">
        <v>191</v>
      </c>
      <c r="K24" s="19"/>
    </row>
    <row r="25" spans="1:11" x14ac:dyDescent="0.3">
      <c r="A25" s="18">
        <v>15</v>
      </c>
      <c r="B25" s="18"/>
      <c r="C25" s="19" t="s">
        <v>298</v>
      </c>
      <c r="D25" s="15">
        <v>1</v>
      </c>
      <c r="E25" s="18" t="s">
        <v>295</v>
      </c>
      <c r="F25" s="18"/>
      <c r="G25" s="20">
        <v>0</v>
      </c>
      <c r="H25" s="21">
        <v>1</v>
      </c>
      <c r="I25" s="22">
        <f t="shared" si="1"/>
        <v>0</v>
      </c>
      <c r="J25" s="15" t="s">
        <v>191</v>
      </c>
      <c r="K25" s="19"/>
    </row>
    <row r="26" spans="1:11" x14ac:dyDescent="0.3">
      <c r="A26" s="18">
        <v>16</v>
      </c>
      <c r="B26" s="18"/>
      <c r="C26" s="19" t="s">
        <v>299</v>
      </c>
      <c r="D26" s="15">
        <v>8</v>
      </c>
      <c r="E26" s="18" t="s">
        <v>295</v>
      </c>
      <c r="F26" s="18"/>
      <c r="G26" s="20">
        <v>0</v>
      </c>
      <c r="H26" s="21">
        <v>1</v>
      </c>
      <c r="I26" s="22">
        <f t="shared" si="1"/>
        <v>0</v>
      </c>
      <c r="J26" s="15" t="s">
        <v>191</v>
      </c>
      <c r="K26" s="19"/>
    </row>
    <row r="27" spans="1:11" x14ac:dyDescent="0.3">
      <c r="A27" s="18">
        <v>17</v>
      </c>
      <c r="B27" s="18"/>
      <c r="C27" s="19" t="s">
        <v>300</v>
      </c>
      <c r="D27" s="15">
        <v>10</v>
      </c>
      <c r="E27" s="18" t="s">
        <v>295</v>
      </c>
      <c r="F27" s="18"/>
      <c r="G27" s="20">
        <v>0</v>
      </c>
      <c r="H27" s="21">
        <v>1</v>
      </c>
      <c r="I27" s="22">
        <f t="shared" si="1"/>
        <v>0</v>
      </c>
      <c r="J27" s="15" t="s">
        <v>191</v>
      </c>
      <c r="K27" s="19"/>
    </row>
    <row r="28" spans="1:11" x14ac:dyDescent="0.3">
      <c r="A28" s="18">
        <v>18</v>
      </c>
      <c r="B28" s="18"/>
      <c r="C28" s="19" t="s">
        <v>301</v>
      </c>
      <c r="D28" s="15">
        <v>2</v>
      </c>
      <c r="E28" s="18" t="s">
        <v>302</v>
      </c>
      <c r="F28" s="18"/>
      <c r="G28" s="20">
        <v>0</v>
      </c>
      <c r="H28" s="21">
        <v>1</v>
      </c>
      <c r="I28" s="22">
        <f t="shared" si="1"/>
        <v>0</v>
      </c>
      <c r="J28" s="15" t="s">
        <v>191</v>
      </c>
      <c r="K28" s="19"/>
    </row>
    <row r="29" spans="1:11" x14ac:dyDescent="0.3">
      <c r="A29" s="18">
        <v>19</v>
      </c>
      <c r="B29" s="18"/>
      <c r="C29" s="19" t="s">
        <v>303</v>
      </c>
      <c r="D29" s="15">
        <v>10</v>
      </c>
      <c r="E29" s="18" t="s">
        <v>295</v>
      </c>
      <c r="F29" s="18"/>
      <c r="G29" s="20">
        <v>0</v>
      </c>
      <c r="H29" s="21">
        <v>1</v>
      </c>
      <c r="I29" s="22">
        <f t="shared" si="1"/>
        <v>0</v>
      </c>
      <c r="J29" s="15" t="s">
        <v>191</v>
      </c>
      <c r="K29" s="19"/>
    </row>
    <row r="30" spans="1:11" x14ac:dyDescent="0.3">
      <c r="A30" s="18">
        <v>20</v>
      </c>
      <c r="B30" s="18"/>
      <c r="C30" s="19" t="s">
        <v>304</v>
      </c>
      <c r="D30" s="15">
        <v>10</v>
      </c>
      <c r="E30" s="18" t="s">
        <v>295</v>
      </c>
      <c r="F30" s="18"/>
      <c r="G30" s="20">
        <v>0</v>
      </c>
      <c r="H30" s="21">
        <v>1</v>
      </c>
      <c r="I30" s="22">
        <f t="shared" si="1"/>
        <v>0</v>
      </c>
      <c r="J30" s="15" t="s">
        <v>191</v>
      </c>
      <c r="K30" s="19"/>
    </row>
    <row r="31" spans="1:11" ht="26.4" x14ac:dyDescent="0.3">
      <c r="A31" s="18">
        <v>21</v>
      </c>
      <c r="B31" s="18"/>
      <c r="C31" s="19" t="s">
        <v>305</v>
      </c>
      <c r="D31" s="15">
        <v>1</v>
      </c>
      <c r="E31" s="18" t="s">
        <v>306</v>
      </c>
      <c r="F31" s="18"/>
      <c r="G31" s="20">
        <v>0</v>
      </c>
      <c r="H31" s="21">
        <v>1</v>
      </c>
      <c r="I31" s="22">
        <f t="shared" si="1"/>
        <v>0</v>
      </c>
      <c r="J31" s="15" t="s">
        <v>191</v>
      </c>
      <c r="K31" s="19"/>
    </row>
    <row r="32" spans="1:11" ht="26.4" x14ac:dyDescent="0.3">
      <c r="A32" s="18">
        <v>22</v>
      </c>
      <c r="B32" s="18"/>
      <c r="C32" s="19" t="s">
        <v>307</v>
      </c>
      <c r="D32" s="15">
        <v>2</v>
      </c>
      <c r="E32" s="18" t="s">
        <v>308</v>
      </c>
      <c r="F32" s="18"/>
      <c r="G32" s="20">
        <v>0</v>
      </c>
      <c r="H32" s="21">
        <v>1</v>
      </c>
      <c r="I32" s="22">
        <f t="shared" si="1"/>
        <v>0</v>
      </c>
      <c r="J32" s="15" t="s">
        <v>191</v>
      </c>
      <c r="K32" s="19"/>
    </row>
    <row r="33" spans="1:11" ht="26.4" x14ac:dyDescent="0.3">
      <c r="A33" s="18">
        <v>23</v>
      </c>
      <c r="B33" s="18"/>
      <c r="C33" s="19" t="s">
        <v>309</v>
      </c>
      <c r="D33" s="15">
        <v>3</v>
      </c>
      <c r="E33" s="18" t="s">
        <v>308</v>
      </c>
      <c r="F33" s="18"/>
      <c r="G33" s="20">
        <v>0</v>
      </c>
      <c r="H33" s="21">
        <v>1</v>
      </c>
      <c r="I33" s="22">
        <f t="shared" si="1"/>
        <v>0</v>
      </c>
      <c r="J33" s="15" t="s">
        <v>191</v>
      </c>
      <c r="K33" s="19"/>
    </row>
    <row r="34" spans="1:11" ht="26.4" x14ac:dyDescent="0.3">
      <c r="A34" s="18">
        <v>24</v>
      </c>
      <c r="B34" s="18"/>
      <c r="C34" s="19" t="s">
        <v>310</v>
      </c>
      <c r="D34" s="15">
        <v>5</v>
      </c>
      <c r="E34" s="18" t="s">
        <v>311</v>
      </c>
      <c r="F34" s="18"/>
      <c r="G34" s="20">
        <v>0</v>
      </c>
      <c r="H34" s="21">
        <v>1</v>
      </c>
      <c r="I34" s="22">
        <f t="shared" si="1"/>
        <v>0</v>
      </c>
      <c r="J34" s="15" t="s">
        <v>191</v>
      </c>
      <c r="K34" s="19"/>
    </row>
    <row r="35" spans="1:11" ht="26.4" x14ac:dyDescent="0.3">
      <c r="A35" s="18">
        <v>25</v>
      </c>
      <c r="B35" s="18"/>
      <c r="C35" s="19" t="s">
        <v>312</v>
      </c>
      <c r="D35" s="15">
        <v>2</v>
      </c>
      <c r="E35" s="18" t="s">
        <v>311</v>
      </c>
      <c r="F35" s="18"/>
      <c r="G35" s="20">
        <v>0</v>
      </c>
      <c r="H35" s="21">
        <v>1</v>
      </c>
      <c r="I35" s="22">
        <f t="shared" si="1"/>
        <v>0</v>
      </c>
      <c r="J35" s="15" t="s">
        <v>191</v>
      </c>
      <c r="K35" s="19"/>
    </row>
    <row r="36" spans="1:11" x14ac:dyDescent="0.3">
      <c r="A36" s="23"/>
      <c r="B36" s="54"/>
      <c r="C36" s="54"/>
      <c r="D36" s="23"/>
      <c r="E36" s="23"/>
      <c r="F36" s="23"/>
      <c r="G36" s="23"/>
      <c r="H36" s="23"/>
      <c r="I36" s="24">
        <f>SUM(I22:I35)</f>
        <v>0</v>
      </c>
      <c r="J36" s="23"/>
      <c r="K36" s="23"/>
    </row>
    <row r="37" spans="1:11" x14ac:dyDescent="0.3">
      <c r="A37" s="25"/>
      <c r="B37" s="55"/>
      <c r="C37" s="55"/>
      <c r="D37" s="25"/>
      <c r="E37" s="25"/>
      <c r="F37" s="25"/>
      <c r="G37" s="25"/>
      <c r="H37" s="25"/>
      <c r="I37" s="26">
        <f>MIN(I36,50)</f>
        <v>0</v>
      </c>
      <c r="J37" s="25"/>
      <c r="K37" s="25"/>
    </row>
    <row r="38" spans="1:11" ht="25.5" customHeight="1" x14ac:dyDescent="0.3">
      <c r="B38" s="56" t="s">
        <v>313</v>
      </c>
      <c r="C38" s="56"/>
      <c r="D38" s="56"/>
      <c r="E38" s="56"/>
      <c r="F38" s="56"/>
      <c r="G38" s="56"/>
      <c r="H38" s="56"/>
      <c r="I38" s="56"/>
      <c r="J38" s="56"/>
      <c r="K38" s="56"/>
    </row>
    <row r="40" spans="1:11" ht="18" customHeight="1" x14ac:dyDescent="0.3">
      <c r="A40" s="16"/>
      <c r="B40" s="53" t="s">
        <v>314</v>
      </c>
      <c r="C40" s="53"/>
      <c r="D40" s="16"/>
      <c r="E40" s="16"/>
      <c r="F40" s="17">
        <v>20</v>
      </c>
      <c r="G40" s="16"/>
      <c r="H40" s="16"/>
      <c r="I40" s="16"/>
      <c r="J40" s="16"/>
      <c r="K40" s="16"/>
    </row>
    <row r="41" spans="1:11" x14ac:dyDescent="0.3">
      <c r="A41" s="18">
        <v>26</v>
      </c>
      <c r="B41" s="18"/>
      <c r="C41" s="19" t="s">
        <v>315</v>
      </c>
      <c r="D41" s="15">
        <v>20</v>
      </c>
      <c r="E41" s="18" t="s">
        <v>316</v>
      </c>
      <c r="F41" s="18">
        <v>20</v>
      </c>
      <c r="G41" s="20">
        <v>0</v>
      </c>
      <c r="H41" s="21">
        <v>1</v>
      </c>
      <c r="I41" s="22">
        <f>MIN(D41*G41*H41,F41)</f>
        <v>0</v>
      </c>
      <c r="J41" s="15" t="s">
        <v>191</v>
      </c>
      <c r="K41" s="19"/>
    </row>
    <row r="42" spans="1:11" x14ac:dyDescent="0.3">
      <c r="A42" s="23"/>
      <c r="B42" s="54"/>
      <c r="C42" s="54"/>
      <c r="D42" s="23"/>
      <c r="E42" s="23"/>
      <c r="F42" s="23"/>
      <c r="G42" s="23"/>
      <c r="H42" s="23"/>
      <c r="I42" s="24">
        <f>SUM(I41:I41)</f>
        <v>0</v>
      </c>
      <c r="J42" s="23"/>
      <c r="K42" s="23"/>
    </row>
    <row r="43" spans="1:11" x14ac:dyDescent="0.3">
      <c r="A43" s="25"/>
      <c r="B43" s="55"/>
      <c r="C43" s="55"/>
      <c r="D43" s="25"/>
      <c r="E43" s="25"/>
      <c r="F43" s="25"/>
      <c r="G43" s="25"/>
      <c r="H43" s="25"/>
      <c r="I43" s="26">
        <f>MIN(I42,20)</f>
        <v>0</v>
      </c>
      <c r="J43" s="25"/>
      <c r="K43" s="25"/>
    </row>
    <row r="44" spans="1:11" ht="25.5" customHeight="1" x14ac:dyDescent="0.3">
      <c r="B44" s="56" t="s">
        <v>317</v>
      </c>
      <c r="C44" s="56"/>
      <c r="D44" s="56"/>
      <c r="E44" s="56"/>
      <c r="F44" s="56"/>
      <c r="G44" s="56"/>
      <c r="H44" s="56"/>
      <c r="I44" s="56"/>
      <c r="J44" s="56"/>
      <c r="K44" s="56"/>
    </row>
    <row r="46" spans="1:11" ht="18" customHeight="1" x14ac:dyDescent="0.3">
      <c r="A46" s="16"/>
      <c r="B46" s="53" t="s">
        <v>318</v>
      </c>
      <c r="C46" s="53"/>
      <c r="D46" s="16"/>
      <c r="E46" s="16"/>
      <c r="F46" s="17">
        <v>20</v>
      </c>
      <c r="G46" s="16"/>
      <c r="H46" s="16"/>
      <c r="I46" s="16"/>
      <c r="J46" s="16"/>
      <c r="K46" s="16"/>
    </row>
    <row r="47" spans="1:11" x14ac:dyDescent="0.3">
      <c r="A47" s="18">
        <v>27</v>
      </c>
      <c r="B47" s="18"/>
      <c r="C47" s="19" t="s">
        <v>319</v>
      </c>
      <c r="D47" s="15">
        <v>20</v>
      </c>
      <c r="E47" s="18" t="s">
        <v>320</v>
      </c>
      <c r="F47" s="18"/>
      <c r="G47" s="20">
        <v>0</v>
      </c>
      <c r="H47" s="21">
        <v>1</v>
      </c>
      <c r="I47" s="22">
        <f t="shared" ref="I47:I66" si="2">D47*G47*H47</f>
        <v>0</v>
      </c>
      <c r="J47" s="15" t="s">
        <v>191</v>
      </c>
      <c r="K47" s="19"/>
    </row>
    <row r="48" spans="1:11" x14ac:dyDescent="0.3">
      <c r="A48" s="18">
        <v>28</v>
      </c>
      <c r="B48" s="18"/>
      <c r="C48" s="19" t="s">
        <v>321</v>
      </c>
      <c r="D48" s="15">
        <v>15</v>
      </c>
      <c r="E48" s="18" t="s">
        <v>320</v>
      </c>
      <c r="F48" s="18"/>
      <c r="G48" s="20">
        <v>0</v>
      </c>
      <c r="H48" s="21">
        <v>1</v>
      </c>
      <c r="I48" s="22">
        <f t="shared" si="2"/>
        <v>0</v>
      </c>
      <c r="J48" s="15" t="s">
        <v>191</v>
      </c>
      <c r="K48" s="19"/>
    </row>
    <row r="49" spans="1:11" x14ac:dyDescent="0.3">
      <c r="A49" s="18">
        <v>29</v>
      </c>
      <c r="B49" s="18"/>
      <c r="C49" s="19" t="s">
        <v>322</v>
      </c>
      <c r="D49" s="15">
        <v>10</v>
      </c>
      <c r="E49" s="18" t="s">
        <v>320</v>
      </c>
      <c r="F49" s="18"/>
      <c r="G49" s="20">
        <v>0</v>
      </c>
      <c r="H49" s="21">
        <v>1</v>
      </c>
      <c r="I49" s="22">
        <f t="shared" si="2"/>
        <v>0</v>
      </c>
      <c r="J49" s="15" t="s">
        <v>191</v>
      </c>
      <c r="K49" s="19"/>
    </row>
    <row r="50" spans="1:11" x14ac:dyDescent="0.3">
      <c r="A50" s="18">
        <v>30</v>
      </c>
      <c r="B50" s="18"/>
      <c r="C50" s="19" t="s">
        <v>323</v>
      </c>
      <c r="D50" s="15">
        <v>8</v>
      </c>
      <c r="E50" s="18" t="s">
        <v>320</v>
      </c>
      <c r="F50" s="18"/>
      <c r="G50" s="20">
        <v>0</v>
      </c>
      <c r="H50" s="21">
        <v>1</v>
      </c>
      <c r="I50" s="22">
        <f t="shared" si="2"/>
        <v>0</v>
      </c>
      <c r="J50" s="15" t="s">
        <v>191</v>
      </c>
      <c r="K50" s="19"/>
    </row>
    <row r="51" spans="1:11" ht="26.4" x14ac:dyDescent="0.3">
      <c r="A51" s="18">
        <v>31</v>
      </c>
      <c r="B51" s="18"/>
      <c r="C51" s="19" t="s">
        <v>324</v>
      </c>
      <c r="D51" s="15">
        <v>8</v>
      </c>
      <c r="E51" s="18" t="s">
        <v>320</v>
      </c>
      <c r="F51" s="18"/>
      <c r="G51" s="20">
        <v>0</v>
      </c>
      <c r="H51" s="21">
        <v>1</v>
      </c>
      <c r="I51" s="22">
        <f t="shared" si="2"/>
        <v>0</v>
      </c>
      <c r="J51" s="15" t="s">
        <v>191</v>
      </c>
      <c r="K51" s="19"/>
    </row>
    <row r="52" spans="1:11" x14ac:dyDescent="0.3">
      <c r="A52" s="18">
        <v>32</v>
      </c>
      <c r="B52" s="18"/>
      <c r="C52" s="19" t="s">
        <v>325</v>
      </c>
      <c r="D52" s="15">
        <v>8</v>
      </c>
      <c r="E52" s="18" t="s">
        <v>320</v>
      </c>
      <c r="F52" s="18"/>
      <c r="G52" s="20">
        <v>0</v>
      </c>
      <c r="H52" s="21">
        <v>1</v>
      </c>
      <c r="I52" s="22">
        <f t="shared" si="2"/>
        <v>0</v>
      </c>
      <c r="J52" s="15" t="s">
        <v>191</v>
      </c>
      <c r="K52" s="19"/>
    </row>
    <row r="53" spans="1:11" x14ac:dyDescent="0.3">
      <c r="A53" s="18">
        <v>33</v>
      </c>
      <c r="B53" s="18"/>
      <c r="C53" s="19" t="s">
        <v>326</v>
      </c>
      <c r="D53" s="15">
        <v>6</v>
      </c>
      <c r="E53" s="18" t="s">
        <v>320</v>
      </c>
      <c r="F53" s="18">
        <v>1</v>
      </c>
      <c r="G53" s="20">
        <v>0</v>
      </c>
      <c r="H53" s="21">
        <v>1</v>
      </c>
      <c r="I53" s="22">
        <f t="shared" si="2"/>
        <v>0</v>
      </c>
      <c r="J53" s="15" t="s">
        <v>191</v>
      </c>
      <c r="K53" s="19"/>
    </row>
    <row r="54" spans="1:11" ht="26.4" x14ac:dyDescent="0.3">
      <c r="A54" s="18">
        <v>34</v>
      </c>
      <c r="B54" s="18"/>
      <c r="C54" s="19" t="s">
        <v>327</v>
      </c>
      <c r="D54" s="15">
        <v>6</v>
      </c>
      <c r="E54" s="18" t="s">
        <v>320</v>
      </c>
      <c r="F54" s="18"/>
      <c r="G54" s="20">
        <v>0</v>
      </c>
      <c r="H54" s="21">
        <v>1</v>
      </c>
      <c r="I54" s="22">
        <f t="shared" si="2"/>
        <v>0</v>
      </c>
      <c r="J54" s="15" t="s">
        <v>191</v>
      </c>
      <c r="K54" s="19"/>
    </row>
    <row r="55" spans="1:11" x14ac:dyDescent="0.3">
      <c r="A55" s="18">
        <v>35</v>
      </c>
      <c r="B55" s="18"/>
      <c r="C55" s="19" t="s">
        <v>328</v>
      </c>
      <c r="D55" s="15">
        <v>4</v>
      </c>
      <c r="E55" s="18" t="s">
        <v>320</v>
      </c>
      <c r="F55" s="18"/>
      <c r="G55" s="20">
        <v>0</v>
      </c>
      <c r="H55" s="21">
        <v>1</v>
      </c>
      <c r="I55" s="22">
        <f t="shared" si="2"/>
        <v>0</v>
      </c>
      <c r="J55" s="15" t="s">
        <v>191</v>
      </c>
      <c r="K55" s="19"/>
    </row>
    <row r="56" spans="1:11" ht="26.4" x14ac:dyDescent="0.3">
      <c r="A56" s="18">
        <v>36</v>
      </c>
      <c r="B56" s="18"/>
      <c r="C56" s="19" t="s">
        <v>329</v>
      </c>
      <c r="D56" s="15">
        <v>3</v>
      </c>
      <c r="E56" s="18" t="s">
        <v>320</v>
      </c>
      <c r="F56" s="18"/>
      <c r="G56" s="20">
        <v>0</v>
      </c>
      <c r="H56" s="21">
        <v>1</v>
      </c>
      <c r="I56" s="22">
        <f t="shared" si="2"/>
        <v>0</v>
      </c>
      <c r="J56" s="15" t="s">
        <v>191</v>
      </c>
      <c r="K56" s="19"/>
    </row>
    <row r="57" spans="1:11" ht="26.4" x14ac:dyDescent="0.3">
      <c r="A57" s="18">
        <v>37</v>
      </c>
      <c r="B57" s="18"/>
      <c r="C57" s="19" t="s">
        <v>330</v>
      </c>
      <c r="D57" s="15">
        <v>2</v>
      </c>
      <c r="E57" s="18" t="s">
        <v>320</v>
      </c>
      <c r="F57" s="18"/>
      <c r="G57" s="20">
        <v>0</v>
      </c>
      <c r="H57" s="21">
        <v>1</v>
      </c>
      <c r="I57" s="22">
        <f t="shared" si="2"/>
        <v>0</v>
      </c>
      <c r="J57" s="15" t="s">
        <v>191</v>
      </c>
      <c r="K57" s="19"/>
    </row>
    <row r="58" spans="1:11" x14ac:dyDescent="0.3">
      <c r="A58" s="18">
        <v>38</v>
      </c>
      <c r="B58" s="18"/>
      <c r="C58" s="19" t="s">
        <v>331</v>
      </c>
      <c r="D58" s="15">
        <v>2</v>
      </c>
      <c r="E58" s="18" t="s">
        <v>320</v>
      </c>
      <c r="F58" s="18"/>
      <c r="G58" s="20">
        <v>0</v>
      </c>
      <c r="H58" s="21">
        <v>1</v>
      </c>
      <c r="I58" s="22">
        <f t="shared" si="2"/>
        <v>0</v>
      </c>
      <c r="J58" s="15" t="s">
        <v>191</v>
      </c>
      <c r="K58" s="19"/>
    </row>
    <row r="59" spans="1:11" ht="26.4" x14ac:dyDescent="0.3">
      <c r="A59" s="18">
        <v>39</v>
      </c>
      <c r="B59" s="18"/>
      <c r="C59" s="19" t="s">
        <v>332</v>
      </c>
      <c r="D59" s="15">
        <v>6</v>
      </c>
      <c r="E59" s="18" t="s">
        <v>320</v>
      </c>
      <c r="F59" s="18"/>
      <c r="G59" s="20">
        <v>0</v>
      </c>
      <c r="H59" s="21">
        <v>1</v>
      </c>
      <c r="I59" s="22">
        <f t="shared" si="2"/>
        <v>0</v>
      </c>
      <c r="J59" s="15" t="s">
        <v>191</v>
      </c>
      <c r="K59" s="19"/>
    </row>
    <row r="60" spans="1:11" x14ac:dyDescent="0.3">
      <c r="A60" s="18">
        <v>40</v>
      </c>
      <c r="B60" s="18"/>
      <c r="C60" s="19" t="s">
        <v>333</v>
      </c>
      <c r="D60" s="15">
        <v>5</v>
      </c>
      <c r="E60" s="18" t="s">
        <v>320</v>
      </c>
      <c r="F60" s="18"/>
      <c r="G60" s="20">
        <v>0</v>
      </c>
      <c r="H60" s="21">
        <v>1</v>
      </c>
      <c r="I60" s="22">
        <f t="shared" si="2"/>
        <v>0</v>
      </c>
      <c r="J60" s="15" t="s">
        <v>191</v>
      </c>
      <c r="K60" s="19"/>
    </row>
    <row r="61" spans="1:11" x14ac:dyDescent="0.3">
      <c r="A61" s="18">
        <v>41</v>
      </c>
      <c r="B61" s="18"/>
      <c r="C61" s="19" t="s">
        <v>334</v>
      </c>
      <c r="D61" s="15">
        <v>3</v>
      </c>
      <c r="E61" s="18" t="s">
        <v>320</v>
      </c>
      <c r="F61" s="18"/>
      <c r="G61" s="20">
        <v>0</v>
      </c>
      <c r="H61" s="21">
        <v>1</v>
      </c>
      <c r="I61" s="22">
        <f t="shared" si="2"/>
        <v>0</v>
      </c>
      <c r="J61" s="15" t="s">
        <v>191</v>
      </c>
      <c r="K61" s="19"/>
    </row>
    <row r="62" spans="1:11" x14ac:dyDescent="0.3">
      <c r="A62" s="18">
        <v>42</v>
      </c>
      <c r="B62" s="18"/>
      <c r="C62" s="19" t="s">
        <v>335</v>
      </c>
      <c r="D62" s="15">
        <v>4</v>
      </c>
      <c r="E62" s="18" t="s">
        <v>320</v>
      </c>
      <c r="F62" s="18"/>
      <c r="G62" s="20">
        <v>0</v>
      </c>
      <c r="H62" s="21">
        <v>1</v>
      </c>
      <c r="I62" s="22">
        <f t="shared" si="2"/>
        <v>0</v>
      </c>
      <c r="J62" s="15" t="s">
        <v>191</v>
      </c>
      <c r="K62" s="19"/>
    </row>
    <row r="63" spans="1:11" ht="26.4" x14ac:dyDescent="0.3">
      <c r="A63" s="18">
        <v>43</v>
      </c>
      <c r="B63" s="18"/>
      <c r="C63" s="19" t="s">
        <v>336</v>
      </c>
      <c r="D63" s="15">
        <v>3</v>
      </c>
      <c r="E63" s="18" t="s">
        <v>320</v>
      </c>
      <c r="F63" s="18"/>
      <c r="G63" s="20">
        <v>0</v>
      </c>
      <c r="H63" s="21">
        <v>1</v>
      </c>
      <c r="I63" s="22">
        <f t="shared" si="2"/>
        <v>0</v>
      </c>
      <c r="J63" s="15" t="s">
        <v>191</v>
      </c>
      <c r="K63" s="19"/>
    </row>
    <row r="64" spans="1:11" ht="26.4" x14ac:dyDescent="0.3">
      <c r="A64" s="18">
        <v>44</v>
      </c>
      <c r="B64" s="18"/>
      <c r="C64" s="19" t="s">
        <v>337</v>
      </c>
      <c r="D64" s="15">
        <v>2</v>
      </c>
      <c r="E64" s="18" t="s">
        <v>320</v>
      </c>
      <c r="F64" s="18"/>
      <c r="G64" s="20">
        <v>0</v>
      </c>
      <c r="H64" s="21">
        <v>1</v>
      </c>
      <c r="I64" s="22">
        <f t="shared" si="2"/>
        <v>0</v>
      </c>
      <c r="J64" s="15" t="s">
        <v>191</v>
      </c>
      <c r="K64" s="19"/>
    </row>
    <row r="65" spans="1:11" ht="26.4" x14ac:dyDescent="0.3">
      <c r="A65" s="18">
        <v>45</v>
      </c>
      <c r="B65" s="18"/>
      <c r="C65" s="19" t="s">
        <v>338</v>
      </c>
      <c r="D65" s="15">
        <v>1</v>
      </c>
      <c r="E65" s="18" t="s">
        <v>320</v>
      </c>
      <c r="F65" s="18"/>
      <c r="G65" s="20">
        <v>0</v>
      </c>
      <c r="H65" s="21">
        <v>1</v>
      </c>
      <c r="I65" s="22">
        <f t="shared" si="2"/>
        <v>0</v>
      </c>
      <c r="J65" s="15" t="s">
        <v>191</v>
      </c>
      <c r="K65" s="19"/>
    </row>
    <row r="66" spans="1:11" ht="26.4" x14ac:dyDescent="0.3">
      <c r="A66" s="18">
        <v>46</v>
      </c>
      <c r="B66" s="18"/>
      <c r="C66" s="19" t="s">
        <v>339</v>
      </c>
      <c r="D66" s="15">
        <v>1</v>
      </c>
      <c r="E66" s="18" t="s">
        <v>320</v>
      </c>
      <c r="F66" s="18"/>
      <c r="G66" s="20">
        <v>0</v>
      </c>
      <c r="H66" s="21">
        <v>1</v>
      </c>
      <c r="I66" s="22">
        <f t="shared" si="2"/>
        <v>0</v>
      </c>
      <c r="J66" s="15" t="s">
        <v>191</v>
      </c>
      <c r="K66" s="19"/>
    </row>
    <row r="67" spans="1:11" x14ac:dyDescent="0.3">
      <c r="A67" s="23"/>
      <c r="B67" s="54"/>
      <c r="C67" s="54"/>
      <c r="D67" s="23"/>
      <c r="E67" s="23"/>
      <c r="F67" s="23"/>
      <c r="G67" s="23"/>
      <c r="H67" s="23"/>
      <c r="I67" s="24">
        <f>SUM(I47:I66)</f>
        <v>0</v>
      </c>
      <c r="J67" s="23"/>
      <c r="K67" s="23"/>
    </row>
    <row r="68" spans="1:11" x14ac:dyDescent="0.3">
      <c r="A68" s="25"/>
      <c r="B68" s="55"/>
      <c r="C68" s="55"/>
      <c r="D68" s="25"/>
      <c r="E68" s="25"/>
      <c r="F68" s="25"/>
      <c r="G68" s="25"/>
      <c r="H68" s="25"/>
      <c r="I68" s="26">
        <f>MIN(I67,20)</f>
        <v>0</v>
      </c>
      <c r="J68" s="25"/>
      <c r="K68" s="25"/>
    </row>
    <row r="69" spans="1:11" ht="25.5" customHeight="1" x14ac:dyDescent="0.3">
      <c r="B69" s="56" t="s">
        <v>340</v>
      </c>
      <c r="C69" s="56"/>
      <c r="D69" s="56"/>
      <c r="E69" s="56"/>
      <c r="F69" s="56"/>
      <c r="G69" s="56"/>
      <c r="H69" s="56"/>
      <c r="I69" s="56"/>
      <c r="J69" s="56"/>
      <c r="K69" s="56"/>
    </row>
    <row r="72" spans="1:11" x14ac:dyDescent="0.3">
      <c r="A72" s="23"/>
      <c r="B72" s="54"/>
      <c r="C72" s="54"/>
      <c r="D72" s="23"/>
      <c r="E72" s="23"/>
      <c r="F72" s="23"/>
      <c r="G72" s="23"/>
      <c r="H72" s="23"/>
      <c r="I72" s="27">
        <f>I18+I37+I43+I68</f>
        <v>0</v>
      </c>
      <c r="J72" s="23"/>
      <c r="K72" s="23"/>
    </row>
    <row r="73" spans="1:11" ht="15.6" x14ac:dyDescent="0.3">
      <c r="A73" s="28"/>
      <c r="B73" s="52"/>
      <c r="C73" s="52"/>
      <c r="D73" s="28"/>
      <c r="E73" s="28"/>
      <c r="F73" s="28"/>
      <c r="G73" s="28"/>
      <c r="H73" s="28"/>
      <c r="I73" s="29">
        <f>MIN(I72,100)</f>
        <v>0</v>
      </c>
      <c r="J73" s="28"/>
      <c r="K73" s="28"/>
    </row>
  </sheetData>
  <mergeCells count="20">
    <mergeCell ref="A1:K1"/>
    <mergeCell ref="A2:K2"/>
    <mergeCell ref="B5:C5"/>
    <mergeCell ref="B17:C17"/>
    <mergeCell ref="B18:C18"/>
    <mergeCell ref="B19:K19"/>
    <mergeCell ref="B21:C21"/>
    <mergeCell ref="B36:C36"/>
    <mergeCell ref="B37:C37"/>
    <mergeCell ref="B38:K38"/>
    <mergeCell ref="B40:C40"/>
    <mergeCell ref="B42:C42"/>
    <mergeCell ref="B43:C43"/>
    <mergeCell ref="B44:K44"/>
    <mergeCell ref="B46:C46"/>
    <mergeCell ref="B67:C67"/>
    <mergeCell ref="B68:C68"/>
    <mergeCell ref="B69:K69"/>
    <mergeCell ref="B72:C72"/>
    <mergeCell ref="B73:C73"/>
  </mergeCells>
  <dataValidations count="2">
    <dataValidation type="decimal" allowBlank="1" error="Enter a share between 0% and 100%." sqref="H5:H73" xr:uid="{00000000-0002-0000-0500-000000000000}">
      <formula1>0</formula1>
      <formula2>1</formula2>
    </dataValidation>
    <dataValidation type="list" allowBlank="1" sqref="J5:J73" xr:uid="{00000000-0002-0000-0500-000001000000}">
      <formula1>"Not Started,In Progress,Evidence Complete,Submitted,Verified"</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6"/>
  <sheetViews>
    <sheetView showGridLines="0" zoomScaleNormal="100" workbookViewId="0">
      <pane ySplit="4" topLeftCell="A5" activePane="bottomLeft" state="frozen"/>
      <selection pane="bottomLeft" activeCell="G10" sqref="G10"/>
    </sheetView>
  </sheetViews>
  <sheetFormatPr defaultColWidth="8.6640625" defaultRowHeight="14.4" x14ac:dyDescent="0.3"/>
  <cols>
    <col min="1" max="1" width="5" customWidth="1"/>
    <col min="2" max="2" width="34" customWidth="1"/>
    <col min="3" max="3" width="48" customWidth="1"/>
    <col min="4" max="4" width="12" customWidth="1"/>
    <col min="5" max="5" width="20" customWidth="1"/>
    <col min="6" max="6" width="14" customWidth="1"/>
    <col min="7" max="7" width="12" customWidth="1"/>
    <col min="8" max="9" width="13" customWidth="1"/>
    <col min="10" max="10" width="16" customWidth="1"/>
    <col min="11" max="11" width="40" customWidth="1"/>
  </cols>
  <sheetData>
    <row r="1" spans="1:11" ht="25.5" customHeight="1" x14ac:dyDescent="0.3">
      <c r="A1" s="57" t="s">
        <v>341</v>
      </c>
      <c r="B1" s="57"/>
      <c r="C1" s="57"/>
      <c r="D1" s="57"/>
      <c r="E1" s="57"/>
      <c r="F1" s="57"/>
      <c r="G1" s="57"/>
      <c r="H1" s="57"/>
      <c r="I1" s="57"/>
      <c r="J1" s="57"/>
      <c r="K1" s="57"/>
    </row>
    <row r="2" spans="1:11" ht="13.5" customHeight="1" x14ac:dyDescent="0.3">
      <c r="A2" s="58" t="s">
        <v>177</v>
      </c>
      <c r="B2" s="58"/>
      <c r="C2" s="58"/>
      <c r="D2" s="58"/>
      <c r="E2" s="58"/>
      <c r="F2" s="58"/>
      <c r="G2" s="58"/>
      <c r="H2" s="58"/>
      <c r="I2" s="58"/>
      <c r="J2" s="58"/>
      <c r="K2" s="58"/>
    </row>
    <row r="4" spans="1:11" ht="30" customHeight="1" x14ac:dyDescent="0.3">
      <c r="A4" s="4" t="s">
        <v>178</v>
      </c>
      <c r="B4" s="4" t="s">
        <v>179</v>
      </c>
      <c r="C4" s="4" t="s">
        <v>180</v>
      </c>
      <c r="D4" s="4" t="s">
        <v>181</v>
      </c>
      <c r="E4" s="4" t="s">
        <v>182</v>
      </c>
      <c r="F4" s="4" t="s">
        <v>183</v>
      </c>
      <c r="G4" s="4" t="s">
        <v>184</v>
      </c>
      <c r="H4" s="4" t="s">
        <v>185</v>
      </c>
      <c r="I4" s="4" t="s">
        <v>62</v>
      </c>
      <c r="J4" s="4" t="s">
        <v>186</v>
      </c>
      <c r="K4" s="4" t="s">
        <v>187</v>
      </c>
    </row>
    <row r="5" spans="1:11" ht="18" customHeight="1" x14ac:dyDescent="0.3">
      <c r="A5" s="16"/>
      <c r="B5" s="53" t="s">
        <v>342</v>
      </c>
      <c r="C5" s="53"/>
      <c r="D5" s="16"/>
      <c r="E5" s="16"/>
      <c r="F5" s="17">
        <v>20</v>
      </c>
      <c r="G5" s="16"/>
      <c r="H5" s="16"/>
      <c r="I5" s="16"/>
      <c r="J5" s="16"/>
      <c r="K5" s="16"/>
    </row>
    <row r="6" spans="1:11" ht="26.4" x14ac:dyDescent="0.3">
      <c r="A6" s="18">
        <v>1</v>
      </c>
      <c r="B6" s="18"/>
      <c r="C6" s="19" t="s">
        <v>343</v>
      </c>
      <c r="D6" s="15">
        <v>5</v>
      </c>
      <c r="E6" s="18" t="s">
        <v>344</v>
      </c>
      <c r="F6" s="18"/>
      <c r="G6" s="20">
        <v>0</v>
      </c>
      <c r="H6" s="21">
        <v>1</v>
      </c>
      <c r="I6" s="22">
        <f>D6*G6*H6</f>
        <v>0</v>
      </c>
      <c r="J6" s="15" t="s">
        <v>191</v>
      </c>
      <c r="K6" s="19"/>
    </row>
    <row r="7" spans="1:11" x14ac:dyDescent="0.3">
      <c r="A7" s="23"/>
      <c r="B7" s="54"/>
      <c r="C7" s="54"/>
      <c r="D7" s="23"/>
      <c r="E7" s="23"/>
      <c r="F7" s="23"/>
      <c r="G7" s="23"/>
      <c r="H7" s="23"/>
      <c r="I7" s="24">
        <f>SUM(I6:I6)</f>
        <v>0</v>
      </c>
      <c r="J7" s="23"/>
      <c r="K7" s="23"/>
    </row>
    <row r="8" spans="1:11" x14ac:dyDescent="0.3">
      <c r="A8" s="25"/>
      <c r="B8" s="55"/>
      <c r="C8" s="55"/>
      <c r="D8" s="25"/>
      <c r="E8" s="25"/>
      <c r="F8" s="25"/>
      <c r="G8" s="25"/>
      <c r="H8" s="25"/>
      <c r="I8" s="26">
        <f>MIN(I7,20)</f>
        <v>0</v>
      </c>
      <c r="J8" s="25"/>
      <c r="K8" s="25"/>
    </row>
    <row r="9" spans="1:11" ht="25.5" customHeight="1" x14ac:dyDescent="0.3">
      <c r="B9" s="56" t="s">
        <v>345</v>
      </c>
      <c r="C9" s="56"/>
      <c r="D9" s="56"/>
      <c r="E9" s="56"/>
      <c r="F9" s="56"/>
      <c r="G9" s="56"/>
      <c r="H9" s="56"/>
      <c r="I9" s="56"/>
      <c r="J9" s="56"/>
      <c r="K9" s="56"/>
    </row>
    <row r="11" spans="1:11" ht="18" customHeight="1" x14ac:dyDescent="0.3">
      <c r="A11" s="16"/>
      <c r="B11" s="53" t="s">
        <v>346</v>
      </c>
      <c r="C11" s="53"/>
      <c r="D11" s="16"/>
      <c r="E11" s="16"/>
      <c r="F11" s="17">
        <v>60</v>
      </c>
      <c r="G11" s="16"/>
      <c r="H11" s="16"/>
      <c r="I11" s="16"/>
      <c r="J11" s="16"/>
      <c r="K11" s="16"/>
    </row>
    <row r="12" spans="1:11" x14ac:dyDescent="0.3">
      <c r="A12" s="18">
        <v>2</v>
      </c>
      <c r="B12" s="18"/>
      <c r="C12" s="19" t="s">
        <v>347</v>
      </c>
      <c r="D12" s="15">
        <v>10</v>
      </c>
      <c r="E12" s="18" t="s">
        <v>348</v>
      </c>
      <c r="F12" s="18"/>
      <c r="G12" s="20">
        <v>0</v>
      </c>
      <c r="H12" s="21">
        <v>1</v>
      </c>
      <c r="I12" s="22">
        <f>D12*G12*H12</f>
        <v>0</v>
      </c>
      <c r="J12" s="15" t="s">
        <v>191</v>
      </c>
      <c r="K12" s="19"/>
    </row>
    <row r="13" spans="1:11" x14ac:dyDescent="0.3">
      <c r="A13" s="18">
        <v>3</v>
      </c>
      <c r="B13" s="18"/>
      <c r="C13" s="19" t="s">
        <v>349</v>
      </c>
      <c r="D13" s="15">
        <v>10</v>
      </c>
      <c r="E13" s="18" t="s">
        <v>348</v>
      </c>
      <c r="F13" s="18"/>
      <c r="G13" s="20">
        <v>0</v>
      </c>
      <c r="H13" s="21">
        <v>1</v>
      </c>
      <c r="I13" s="22">
        <f>D13*G13*H13</f>
        <v>0</v>
      </c>
      <c r="J13" s="15" t="s">
        <v>191</v>
      </c>
      <c r="K13" s="19"/>
    </row>
    <row r="14" spans="1:11" x14ac:dyDescent="0.3">
      <c r="A14" s="18">
        <v>4</v>
      </c>
      <c r="B14" s="18"/>
      <c r="C14" s="19" t="s">
        <v>350</v>
      </c>
      <c r="D14" s="15">
        <v>20</v>
      </c>
      <c r="E14" s="18" t="s">
        <v>351</v>
      </c>
      <c r="F14" s="18"/>
      <c r="G14" s="20">
        <v>0</v>
      </c>
      <c r="H14" s="21">
        <v>1</v>
      </c>
      <c r="I14" s="22">
        <f>D14*G14*H14</f>
        <v>0</v>
      </c>
      <c r="J14" s="15" t="s">
        <v>191</v>
      </c>
      <c r="K14" s="19"/>
    </row>
    <row r="15" spans="1:11" x14ac:dyDescent="0.3">
      <c r="A15" s="18">
        <v>5</v>
      </c>
      <c r="B15" s="18"/>
      <c r="C15" s="19" t="s">
        <v>352</v>
      </c>
      <c r="D15" s="15">
        <v>40</v>
      </c>
      <c r="E15" s="18" t="s">
        <v>351</v>
      </c>
      <c r="F15" s="18"/>
      <c r="G15" s="20">
        <v>0</v>
      </c>
      <c r="H15" s="21">
        <v>1</v>
      </c>
      <c r="I15" s="22">
        <f>D15*G15*H15</f>
        <v>0</v>
      </c>
      <c r="J15" s="15" t="s">
        <v>191</v>
      </c>
      <c r="K15" s="19"/>
    </row>
    <row r="16" spans="1:11" ht="39.6" x14ac:dyDescent="0.3">
      <c r="A16" s="18">
        <v>6</v>
      </c>
      <c r="B16" s="18"/>
      <c r="C16" s="19" t="s">
        <v>353</v>
      </c>
      <c r="D16" s="15">
        <v>1</v>
      </c>
      <c r="E16" s="18" t="s">
        <v>354</v>
      </c>
      <c r="F16" s="18"/>
      <c r="G16" s="20">
        <v>0</v>
      </c>
      <c r="H16" s="21">
        <v>1</v>
      </c>
      <c r="I16" s="22">
        <f t="shared" ref="I16:I19" si="0">D16*G16*H16</f>
        <v>0</v>
      </c>
      <c r="J16" s="15" t="s">
        <v>191</v>
      </c>
      <c r="K16" s="19"/>
    </row>
    <row r="17" spans="1:11" ht="39.6" x14ac:dyDescent="0.3">
      <c r="A17" s="18">
        <v>7</v>
      </c>
      <c r="B17" s="18"/>
      <c r="C17" s="19" t="s">
        <v>355</v>
      </c>
      <c r="D17" s="15">
        <v>2</v>
      </c>
      <c r="E17" s="18" t="s">
        <v>354</v>
      </c>
      <c r="F17" s="18"/>
      <c r="G17" s="20">
        <v>0</v>
      </c>
      <c r="H17" s="21">
        <v>1</v>
      </c>
      <c r="I17" s="22">
        <f t="shared" si="0"/>
        <v>0</v>
      </c>
      <c r="J17" s="15" t="s">
        <v>191</v>
      </c>
      <c r="K17" s="19"/>
    </row>
    <row r="18" spans="1:11" x14ac:dyDescent="0.3">
      <c r="A18" s="18">
        <v>8</v>
      </c>
      <c r="B18" s="18"/>
      <c r="C18" s="19" t="s">
        <v>356</v>
      </c>
      <c r="D18" s="15">
        <v>3</v>
      </c>
      <c r="E18" s="18" t="s">
        <v>357</v>
      </c>
      <c r="F18" s="18"/>
      <c r="G18" s="20">
        <v>0</v>
      </c>
      <c r="H18" s="21">
        <v>1</v>
      </c>
      <c r="I18" s="22">
        <f t="shared" si="0"/>
        <v>0</v>
      </c>
      <c r="J18" s="15" t="s">
        <v>191</v>
      </c>
      <c r="K18" s="19"/>
    </row>
    <row r="19" spans="1:11" x14ac:dyDescent="0.3">
      <c r="A19" s="18">
        <v>9</v>
      </c>
      <c r="B19" s="18"/>
      <c r="C19" s="19" t="s">
        <v>358</v>
      </c>
      <c r="D19" s="15">
        <v>5</v>
      </c>
      <c r="E19" s="18" t="s">
        <v>357</v>
      </c>
      <c r="F19" s="18"/>
      <c r="G19" s="20">
        <v>0</v>
      </c>
      <c r="H19" s="21">
        <v>1</v>
      </c>
      <c r="I19" s="22">
        <f t="shared" si="0"/>
        <v>0</v>
      </c>
      <c r="J19" s="15" t="s">
        <v>191</v>
      </c>
      <c r="K19" s="19"/>
    </row>
    <row r="20" spans="1:11" x14ac:dyDescent="0.3">
      <c r="A20" s="23"/>
      <c r="B20" s="54"/>
      <c r="C20" s="54"/>
      <c r="D20" s="23"/>
      <c r="E20" s="23"/>
      <c r="F20" s="23"/>
      <c r="G20" s="23"/>
      <c r="H20" s="23"/>
      <c r="I20" s="24">
        <f>SUM(I12:I19)</f>
        <v>0</v>
      </c>
      <c r="J20" s="23"/>
      <c r="K20" s="23"/>
    </row>
    <row r="21" spans="1:11" x14ac:dyDescent="0.3">
      <c r="A21" s="25"/>
      <c r="B21" s="55"/>
      <c r="C21" s="55"/>
      <c r="D21" s="25"/>
      <c r="E21" s="25"/>
      <c r="F21" s="25"/>
      <c r="G21" s="25"/>
      <c r="H21" s="25"/>
      <c r="I21" s="26">
        <f>MIN(I20,60)</f>
        <v>0</v>
      </c>
      <c r="J21" s="25"/>
      <c r="K21" s="25"/>
    </row>
    <row r="22" spans="1:11" ht="25.5" customHeight="1" x14ac:dyDescent="0.3">
      <c r="B22" s="56" t="s">
        <v>359</v>
      </c>
      <c r="C22" s="56"/>
      <c r="D22" s="56"/>
      <c r="E22" s="56"/>
      <c r="F22" s="56"/>
      <c r="G22" s="56"/>
      <c r="H22" s="56"/>
      <c r="I22" s="56"/>
      <c r="J22" s="56"/>
      <c r="K22" s="56"/>
    </row>
    <row r="24" spans="1:11" ht="18" customHeight="1" x14ac:dyDescent="0.3">
      <c r="A24" s="16"/>
      <c r="B24" s="53" t="s">
        <v>360</v>
      </c>
      <c r="C24" s="53"/>
      <c r="D24" s="16"/>
      <c r="E24" s="16"/>
      <c r="F24" s="17">
        <v>20</v>
      </c>
      <c r="G24" s="16"/>
      <c r="H24" s="16"/>
      <c r="I24" s="16"/>
      <c r="J24" s="16"/>
      <c r="K24" s="16"/>
    </row>
    <row r="25" spans="1:11" x14ac:dyDescent="0.3">
      <c r="A25" s="18">
        <v>10</v>
      </c>
      <c r="B25" s="18"/>
      <c r="C25" s="19" t="s">
        <v>361</v>
      </c>
      <c r="D25" s="15">
        <v>2</v>
      </c>
      <c r="E25" s="18" t="s">
        <v>362</v>
      </c>
      <c r="F25" s="18"/>
      <c r="G25" s="20">
        <v>0</v>
      </c>
      <c r="H25" s="21">
        <v>1</v>
      </c>
      <c r="I25" s="22">
        <f>D25*G25*H25</f>
        <v>0</v>
      </c>
      <c r="J25" s="15" t="s">
        <v>191</v>
      </c>
      <c r="K25" s="19"/>
    </row>
    <row r="26" spans="1:11" ht="26.4" x14ac:dyDescent="0.3">
      <c r="A26" s="18">
        <v>11</v>
      </c>
      <c r="B26" s="18"/>
      <c r="C26" s="19" t="s">
        <v>363</v>
      </c>
      <c r="D26" s="15">
        <v>3</v>
      </c>
      <c r="E26" s="18" t="s">
        <v>362</v>
      </c>
      <c r="F26" s="18"/>
      <c r="G26" s="20">
        <v>0</v>
      </c>
      <c r="H26" s="21">
        <v>1</v>
      </c>
      <c r="I26" s="22">
        <f>D26*G26*H26</f>
        <v>0</v>
      </c>
      <c r="J26" s="15" t="s">
        <v>191</v>
      </c>
      <c r="K26" s="19"/>
    </row>
    <row r="27" spans="1:11" x14ac:dyDescent="0.3">
      <c r="A27" s="18">
        <v>12</v>
      </c>
      <c r="B27" s="18"/>
      <c r="C27" s="19" t="s">
        <v>364</v>
      </c>
      <c r="D27" s="15">
        <v>4</v>
      </c>
      <c r="E27" s="18" t="s">
        <v>362</v>
      </c>
      <c r="F27" s="18"/>
      <c r="G27" s="20">
        <v>0</v>
      </c>
      <c r="H27" s="21">
        <v>1</v>
      </c>
      <c r="I27" s="22">
        <f>D27*G27*H27</f>
        <v>0</v>
      </c>
      <c r="J27" s="15" t="s">
        <v>191</v>
      </c>
      <c r="K27" s="19"/>
    </row>
    <row r="28" spans="1:11" x14ac:dyDescent="0.3">
      <c r="A28" s="23"/>
      <c r="B28" s="54"/>
      <c r="C28" s="54"/>
      <c r="D28" s="23"/>
      <c r="E28" s="23"/>
      <c r="F28" s="23"/>
      <c r="G28" s="23"/>
      <c r="H28" s="23"/>
      <c r="I28" s="24">
        <f>SUM(I25:I27)</f>
        <v>0</v>
      </c>
      <c r="J28" s="23"/>
      <c r="K28" s="23"/>
    </row>
    <row r="29" spans="1:11" x14ac:dyDescent="0.3">
      <c r="A29" s="25"/>
      <c r="B29" s="55"/>
      <c r="C29" s="55"/>
      <c r="D29" s="25"/>
      <c r="E29" s="25"/>
      <c r="F29" s="25"/>
      <c r="G29" s="25"/>
      <c r="H29" s="25"/>
      <c r="I29" s="26">
        <f>MIN(I28,20)</f>
        <v>0</v>
      </c>
      <c r="J29" s="25"/>
      <c r="K29" s="25"/>
    </row>
    <row r="30" spans="1:11" ht="25.5" customHeight="1" x14ac:dyDescent="0.3">
      <c r="B30" s="56" t="s">
        <v>365</v>
      </c>
      <c r="C30" s="56"/>
      <c r="D30" s="56"/>
      <c r="E30" s="56"/>
      <c r="F30" s="56"/>
      <c r="G30" s="56"/>
      <c r="H30" s="56"/>
      <c r="I30" s="56"/>
      <c r="J30" s="56"/>
      <c r="K30" s="56"/>
    </row>
    <row r="32" spans="1:11" ht="18" customHeight="1" x14ac:dyDescent="0.3">
      <c r="A32" s="16"/>
      <c r="B32" s="53" t="s">
        <v>366</v>
      </c>
      <c r="C32" s="53"/>
      <c r="D32" s="16"/>
      <c r="E32" s="16"/>
      <c r="F32" s="17">
        <v>20</v>
      </c>
      <c r="G32" s="16"/>
      <c r="H32" s="16"/>
      <c r="I32" s="16"/>
      <c r="J32" s="16"/>
      <c r="K32" s="16"/>
    </row>
    <row r="33" spans="1:11" ht="26.4" x14ac:dyDescent="0.3">
      <c r="A33" s="18">
        <v>13</v>
      </c>
      <c r="B33" s="18"/>
      <c r="C33" s="19" t="s">
        <v>367</v>
      </c>
      <c r="D33" s="15">
        <v>5</v>
      </c>
      <c r="E33" s="18" t="s">
        <v>368</v>
      </c>
      <c r="F33" s="18"/>
      <c r="G33" s="20">
        <v>0</v>
      </c>
      <c r="H33" s="21">
        <v>1</v>
      </c>
      <c r="I33" s="22">
        <f t="shared" ref="I33:I39" si="1">D33*G33*H33</f>
        <v>0</v>
      </c>
      <c r="J33" s="15" t="s">
        <v>191</v>
      </c>
      <c r="K33" s="19"/>
    </row>
    <row r="34" spans="1:11" ht="26.4" x14ac:dyDescent="0.3">
      <c r="A34" s="18">
        <v>14</v>
      </c>
      <c r="B34" s="18"/>
      <c r="C34" s="19" t="s">
        <v>369</v>
      </c>
      <c r="D34" s="15">
        <v>4</v>
      </c>
      <c r="E34" s="18" t="s">
        <v>368</v>
      </c>
      <c r="F34" s="18"/>
      <c r="G34" s="20">
        <v>0</v>
      </c>
      <c r="H34" s="21">
        <v>1</v>
      </c>
      <c r="I34" s="22">
        <f t="shared" si="1"/>
        <v>0</v>
      </c>
      <c r="J34" s="15" t="s">
        <v>191</v>
      </c>
      <c r="K34" s="19"/>
    </row>
    <row r="35" spans="1:11" ht="26.4" x14ac:dyDescent="0.3">
      <c r="A35" s="18">
        <v>15</v>
      </c>
      <c r="B35" s="18"/>
      <c r="C35" s="19" t="s">
        <v>370</v>
      </c>
      <c r="D35" s="15">
        <v>3</v>
      </c>
      <c r="E35" s="18" t="s">
        <v>368</v>
      </c>
      <c r="F35" s="18"/>
      <c r="G35" s="20">
        <v>0</v>
      </c>
      <c r="H35" s="21">
        <v>1</v>
      </c>
      <c r="I35" s="22">
        <f t="shared" si="1"/>
        <v>0</v>
      </c>
      <c r="J35" s="15" t="s">
        <v>191</v>
      </c>
      <c r="K35" s="19"/>
    </row>
    <row r="36" spans="1:11" ht="26.4" x14ac:dyDescent="0.3">
      <c r="A36" s="18">
        <v>16</v>
      </c>
      <c r="B36" s="18"/>
      <c r="C36" s="19" t="s">
        <v>371</v>
      </c>
      <c r="D36" s="15">
        <v>2</v>
      </c>
      <c r="E36" s="18" t="s">
        <v>368</v>
      </c>
      <c r="F36" s="18"/>
      <c r="G36" s="20">
        <v>0</v>
      </c>
      <c r="H36" s="21">
        <v>1</v>
      </c>
      <c r="I36" s="22">
        <f t="shared" si="1"/>
        <v>0</v>
      </c>
      <c r="J36" s="15" t="s">
        <v>191</v>
      </c>
      <c r="K36" s="19"/>
    </row>
    <row r="37" spans="1:11" ht="26.4" x14ac:dyDescent="0.3">
      <c r="A37" s="18">
        <v>17</v>
      </c>
      <c r="B37" s="18"/>
      <c r="C37" s="19" t="s">
        <v>372</v>
      </c>
      <c r="D37" s="15">
        <v>4</v>
      </c>
      <c r="E37" s="18" t="s">
        <v>368</v>
      </c>
      <c r="F37" s="18"/>
      <c r="G37" s="20">
        <v>0</v>
      </c>
      <c r="H37" s="21">
        <v>1</v>
      </c>
      <c r="I37" s="22">
        <f t="shared" si="1"/>
        <v>0</v>
      </c>
      <c r="J37" s="15" t="s">
        <v>191</v>
      </c>
      <c r="K37" s="19"/>
    </row>
    <row r="38" spans="1:11" ht="26.4" x14ac:dyDescent="0.3">
      <c r="A38" s="18">
        <v>18</v>
      </c>
      <c r="B38" s="18"/>
      <c r="C38" s="19" t="s">
        <v>373</v>
      </c>
      <c r="D38" s="15">
        <v>3</v>
      </c>
      <c r="E38" s="18" t="s">
        <v>368</v>
      </c>
      <c r="F38" s="18"/>
      <c r="G38" s="20">
        <v>0</v>
      </c>
      <c r="H38" s="21">
        <v>1</v>
      </c>
      <c r="I38" s="22">
        <f t="shared" si="1"/>
        <v>0</v>
      </c>
      <c r="J38" s="15" t="s">
        <v>191</v>
      </c>
      <c r="K38" s="19"/>
    </row>
    <row r="39" spans="1:11" ht="26.4" x14ac:dyDescent="0.3">
      <c r="A39" s="18">
        <v>19</v>
      </c>
      <c r="B39" s="18"/>
      <c r="C39" s="19" t="s">
        <v>374</v>
      </c>
      <c r="D39" s="15">
        <v>2</v>
      </c>
      <c r="E39" s="18" t="s">
        <v>368</v>
      </c>
      <c r="F39" s="18"/>
      <c r="G39" s="20">
        <v>0</v>
      </c>
      <c r="H39" s="21">
        <v>1</v>
      </c>
      <c r="I39" s="22">
        <f t="shared" si="1"/>
        <v>0</v>
      </c>
      <c r="J39" s="15" t="s">
        <v>191</v>
      </c>
      <c r="K39" s="19"/>
    </row>
    <row r="40" spans="1:11" x14ac:dyDescent="0.3">
      <c r="A40" s="23"/>
      <c r="B40" s="54"/>
      <c r="C40" s="54"/>
      <c r="D40" s="23"/>
      <c r="E40" s="23"/>
      <c r="F40" s="23"/>
      <c r="G40" s="23"/>
      <c r="H40" s="23"/>
      <c r="I40" s="24">
        <f>SUM(I33:I39)</f>
        <v>0</v>
      </c>
      <c r="J40" s="23"/>
      <c r="K40" s="23"/>
    </row>
    <row r="41" spans="1:11" x14ac:dyDescent="0.3">
      <c r="A41" s="25"/>
      <c r="B41" s="55"/>
      <c r="C41" s="55"/>
      <c r="D41" s="25"/>
      <c r="E41" s="25"/>
      <c r="F41" s="25"/>
      <c r="G41" s="25"/>
      <c r="H41" s="25"/>
      <c r="I41" s="26">
        <f>MIN(I40,20)</f>
        <v>0</v>
      </c>
      <c r="J41" s="25"/>
      <c r="K41" s="25"/>
    </row>
    <row r="42" spans="1:11" ht="25.5" customHeight="1" x14ac:dyDescent="0.3">
      <c r="B42" s="56" t="s">
        <v>375</v>
      </c>
      <c r="C42" s="56"/>
      <c r="D42" s="56"/>
      <c r="E42" s="56"/>
      <c r="F42" s="56"/>
      <c r="G42" s="56"/>
      <c r="H42" s="56"/>
      <c r="I42" s="56"/>
      <c r="J42" s="56"/>
      <c r="K42" s="56"/>
    </row>
    <row r="45" spans="1:11" x14ac:dyDescent="0.3">
      <c r="A45" s="23"/>
      <c r="B45" s="54"/>
      <c r="C45" s="54"/>
      <c r="D45" s="23"/>
      <c r="E45" s="23"/>
      <c r="F45" s="23"/>
      <c r="G45" s="23"/>
      <c r="H45" s="23"/>
      <c r="I45" s="27">
        <f>I8+I21+I29+I41</f>
        <v>0</v>
      </c>
      <c r="J45" s="23"/>
      <c r="K45" s="23"/>
    </row>
    <row r="46" spans="1:11" ht="15.6" x14ac:dyDescent="0.3">
      <c r="A46" s="28"/>
      <c r="B46" s="52"/>
      <c r="C46" s="52"/>
      <c r="D46" s="28"/>
      <c r="E46" s="28"/>
      <c r="F46" s="28"/>
      <c r="G46" s="28"/>
      <c r="H46" s="28"/>
      <c r="I46" s="29">
        <f>MIN(I45,100)</f>
        <v>0</v>
      </c>
      <c r="J46" s="28"/>
      <c r="K46" s="28"/>
    </row>
  </sheetData>
  <mergeCells count="20">
    <mergeCell ref="A1:K1"/>
    <mergeCell ref="A2:K2"/>
    <mergeCell ref="B5:C5"/>
    <mergeCell ref="B7:C7"/>
    <mergeCell ref="B8:C8"/>
    <mergeCell ref="B9:K9"/>
    <mergeCell ref="B11:C11"/>
    <mergeCell ref="B20:C20"/>
    <mergeCell ref="B21:C21"/>
    <mergeCell ref="B22:K22"/>
    <mergeCell ref="B24:C24"/>
    <mergeCell ref="B28:C28"/>
    <mergeCell ref="B29:C29"/>
    <mergeCell ref="B30:K30"/>
    <mergeCell ref="B32:C32"/>
    <mergeCell ref="B40:C40"/>
    <mergeCell ref="B41:C41"/>
    <mergeCell ref="B42:K42"/>
    <mergeCell ref="B45:C45"/>
    <mergeCell ref="B46:C46"/>
  </mergeCells>
  <dataValidations count="2">
    <dataValidation type="decimal" allowBlank="1" error="Enter a share between 0% and 100%." sqref="H5:H46" xr:uid="{00000000-0002-0000-0600-000000000000}">
      <formula1>0</formula1>
      <formula2>1</formula2>
    </dataValidation>
    <dataValidation type="list" allowBlank="1" sqref="J5:J46" xr:uid="{00000000-0002-0000-0600-000001000000}">
      <formula1>"Not Started,In Progress,Evidence Complete,Submitted,Verified"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Dashboard</vt:lpstr>
      <vt:lpstr>Rank_Tables</vt:lpstr>
      <vt:lpstr>KRA_I</vt:lpstr>
      <vt:lpstr>KRA_II</vt:lpstr>
      <vt:lpstr>KRA_III</vt:lpstr>
      <vt:lpstr>KRA_IV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Renato Maaliw III</cp:lastModifiedBy>
  <cp:revision>2</cp:revision>
  <dcterms:created xsi:type="dcterms:W3CDTF">2026-07-03T08:22:17Z</dcterms:created>
  <dcterms:modified xsi:type="dcterms:W3CDTF">2026-07-07T04:57:34Z</dcterms:modified>
  <dc:language>en-US</dc:language>
</cp:coreProperties>
</file>